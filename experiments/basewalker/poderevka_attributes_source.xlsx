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styk.va\Downloads\"/>
    </mc:Choice>
  </mc:AlternateContent>
  <xr:revisionPtr revIDLastSave="0" documentId="8_{76B97196-7E50-463D-9BD4-8979935838D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oderevka-2_2025-10-27-14-35-37" sheetId="1" r:id="rId1"/>
    <sheet name="Лист1" sheetId="2" r:id="rId2"/>
    <sheet name="Лист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94" i="1" l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193" i="1"/>
  <c r="K18" i="1"/>
  <c r="K17" i="1"/>
  <c r="K16" i="1"/>
  <c r="K7" i="1"/>
  <c r="K15" i="1"/>
  <c r="K14" i="1"/>
  <c r="K13" i="1"/>
  <c r="K6" i="1"/>
  <c r="K10" i="1"/>
  <c r="K9" i="1"/>
  <c r="K8" i="1"/>
  <c r="K12" i="1"/>
  <c r="K11" i="1"/>
  <c r="K5" i="1"/>
  <c r="K4" i="1"/>
  <c r="K3" i="1"/>
  <c r="K2" i="1"/>
</calcChain>
</file>

<file path=xl/sharedStrings.xml><?xml version="1.0" encoding="utf-8"?>
<sst xmlns="http://schemas.openxmlformats.org/spreadsheetml/2006/main" count="1567" uniqueCount="989">
  <si>
    <t xml:space="preserve">43.025452577	</t>
  </si>
  <si>
    <t xml:space="preserve">131.895595640	</t>
  </si>
  <si>
    <t xml:space="preserve">43.025511469	</t>
  </si>
  <si>
    <t xml:space="preserve">131.895668666	</t>
  </si>
  <si>
    <t xml:space="preserve">43.025551260	</t>
  </si>
  <si>
    <t xml:space="preserve">131.895614984	</t>
  </si>
  <si>
    <t xml:space="preserve">43.025595927	</t>
  </si>
  <si>
    <t xml:space="preserve">131.895641729	</t>
  </si>
  <si>
    <t xml:space="preserve">43.025603112	</t>
  </si>
  <si>
    <t xml:space="preserve">131.895653882	</t>
  </si>
  <si>
    <t xml:space="preserve">43.025597256	</t>
  </si>
  <si>
    <t xml:space="preserve">131.895704018	</t>
  </si>
  <si>
    <t xml:space="preserve">43.025574907	</t>
  </si>
  <si>
    <t xml:space="preserve">131.895745726	</t>
  </si>
  <si>
    <t xml:space="preserve">43.025602630	</t>
  </si>
  <si>
    <t xml:space="preserve">131.895772578	</t>
  </si>
  <si>
    <t xml:space="preserve">43.025581225	</t>
  </si>
  <si>
    <t xml:space="preserve">131.895791547	</t>
  </si>
  <si>
    <t xml:space="preserve">43.025644545	</t>
  </si>
  <si>
    <t xml:space="preserve">131.895796388	</t>
  </si>
  <si>
    <t xml:space="preserve">43.025638538	</t>
  </si>
  <si>
    <t xml:space="preserve">131.895864550	</t>
  </si>
  <si>
    <t xml:space="preserve">43.025641977	</t>
  </si>
  <si>
    <t xml:space="preserve">131.895860636	</t>
  </si>
  <si>
    <t xml:space="preserve">43.025673908	</t>
  </si>
  <si>
    <t xml:space="preserve">131.895908276	</t>
  </si>
  <si>
    <t xml:space="preserve">43.025745523	</t>
  </si>
  <si>
    <t xml:space="preserve">131.895852528	</t>
  </si>
  <si>
    <t xml:space="preserve">43.025758291	</t>
  </si>
  <si>
    <t xml:space="preserve">131.895848120	</t>
  </si>
  <si>
    <t xml:space="preserve">43.025800699	</t>
  </si>
  <si>
    <t xml:space="preserve">131.895919938	</t>
  </si>
  <si>
    <t xml:space="preserve">43.025837067	</t>
  </si>
  <si>
    <t xml:space="preserve">131.895915053	</t>
  </si>
  <si>
    <t xml:space="preserve">43.025841622	</t>
  </si>
  <si>
    <t xml:space="preserve">131.895902939	</t>
  </si>
  <si>
    <t xml:space="preserve">43.025812405	</t>
  </si>
  <si>
    <t xml:space="preserve">131.896005569	</t>
  </si>
  <si>
    <t xml:space="preserve">43.025835541	</t>
  </si>
  <si>
    <t xml:space="preserve">131.896007089	</t>
  </si>
  <si>
    <t xml:space="preserve">43.025844423	</t>
  </si>
  <si>
    <t xml:space="preserve">131.896062547	</t>
  </si>
  <si>
    <t xml:space="preserve">43.025753581	</t>
  </si>
  <si>
    <t xml:space="preserve">131.896154906	</t>
  </si>
  <si>
    <t xml:space="preserve">43.025733772	</t>
  </si>
  <si>
    <t xml:space="preserve">131.896063930	</t>
  </si>
  <si>
    <t xml:space="preserve">43.025712034	</t>
  </si>
  <si>
    <t xml:space="preserve">131.895938431	</t>
  </si>
  <si>
    <t xml:space="preserve">43.025662998	</t>
  </si>
  <si>
    <t xml:space="preserve">131.895984834	</t>
  </si>
  <si>
    <t xml:space="preserve">43.025669584	</t>
  </si>
  <si>
    <t xml:space="preserve">131.896063417	</t>
  </si>
  <si>
    <t xml:space="preserve">43.025622224	</t>
  </si>
  <si>
    <t xml:space="preserve">131.896142622	</t>
  </si>
  <si>
    <t xml:space="preserve">43.025604385	</t>
  </si>
  <si>
    <t xml:space="preserve">131.896141322	</t>
  </si>
  <si>
    <t xml:space="preserve">43.025601087	</t>
  </si>
  <si>
    <t xml:space="preserve">131.896162601	</t>
  </si>
  <si>
    <t xml:space="preserve">43.025575730	</t>
  </si>
  <si>
    <t xml:space="preserve">131.896085535	</t>
  </si>
  <si>
    <t xml:space="preserve">43.025573609	</t>
  </si>
  <si>
    <t xml:space="preserve">131.895973795	</t>
  </si>
  <si>
    <t xml:space="preserve">43.025614947	</t>
  </si>
  <si>
    <t xml:space="preserve">131.895897773	</t>
  </si>
  <si>
    <t xml:space="preserve">43.025522673	</t>
  </si>
  <si>
    <t xml:space="preserve">131.895813098	</t>
  </si>
  <si>
    <t xml:space="preserve">43.025506495	</t>
  </si>
  <si>
    <t xml:space="preserve">131.895779548	</t>
  </si>
  <si>
    <t xml:space="preserve">43.025552840	</t>
  </si>
  <si>
    <t xml:space="preserve">131.896117923	</t>
  </si>
  <si>
    <t xml:space="preserve">43.025539977	</t>
  </si>
  <si>
    <t xml:space="preserve">131.896192993	</t>
  </si>
  <si>
    <t xml:space="preserve">43.025514413	</t>
  </si>
  <si>
    <t xml:space="preserve">131.896128664	</t>
  </si>
  <si>
    <t xml:space="preserve">43.025476270	</t>
  </si>
  <si>
    <t xml:space="preserve">131.896206424	</t>
  </si>
  <si>
    <t xml:space="preserve">43.025432257	</t>
  </si>
  <si>
    <t xml:space="preserve">131.896109305	</t>
  </si>
  <si>
    <t xml:space="preserve">43.025413612	</t>
  </si>
  <si>
    <t xml:space="preserve">131.896124570	</t>
  </si>
  <si>
    <t xml:space="preserve">43.025398152	</t>
  </si>
  <si>
    <t xml:space="preserve">131.896092728	</t>
  </si>
  <si>
    <t xml:space="preserve">43.025340688	</t>
  </si>
  <si>
    <t xml:space="preserve">131.896098226	</t>
  </si>
  <si>
    <t xml:space="preserve">43.025429138	</t>
  </si>
  <si>
    <t xml:space="preserve">131.896022280	</t>
  </si>
  <si>
    <t xml:space="preserve">43.025403697	</t>
  </si>
  <si>
    <t xml:space="preserve">131.895975369	</t>
  </si>
  <si>
    <t xml:space="preserve">43.025401860	</t>
  </si>
  <si>
    <t xml:space="preserve">131.895973349	</t>
  </si>
  <si>
    <t xml:space="preserve">43.025401026	</t>
  </si>
  <si>
    <t xml:space="preserve">131.895969494	</t>
  </si>
  <si>
    <t xml:space="preserve">43.025397030	</t>
  </si>
  <si>
    <t xml:space="preserve">131.895968038	</t>
  </si>
  <si>
    <t xml:space="preserve">43.025404643	</t>
  </si>
  <si>
    <t xml:space="preserve">131.895915592	</t>
  </si>
  <si>
    <t xml:space="preserve">43.025417473	</t>
  </si>
  <si>
    <t xml:space="preserve">131.895854949	</t>
  </si>
  <si>
    <t xml:space="preserve">43.025483692	</t>
  </si>
  <si>
    <t xml:space="preserve">131.895810670	</t>
  </si>
  <si>
    <t xml:space="preserve">43.025486193	</t>
  </si>
  <si>
    <t xml:space="preserve">131.895820361	</t>
  </si>
  <si>
    <t xml:space="preserve">43.025459734	</t>
  </si>
  <si>
    <t xml:space="preserve">131.895719477	</t>
  </si>
  <si>
    <t xml:space="preserve">43.025363435	</t>
  </si>
  <si>
    <t xml:space="preserve">131.895756924	</t>
  </si>
  <si>
    <t xml:space="preserve">43.025366526	</t>
  </si>
  <si>
    <t xml:space="preserve">131.895831835	</t>
  </si>
  <si>
    <t xml:space="preserve">43.025357441	</t>
  </si>
  <si>
    <t xml:space="preserve">131.895887052	</t>
  </si>
  <si>
    <t xml:space="preserve">43.025300404	</t>
  </si>
  <si>
    <t xml:space="preserve">131.895881139	</t>
  </si>
  <si>
    <t xml:space="preserve">43.025317663	</t>
  </si>
  <si>
    <t xml:space="preserve">131.895940321	</t>
  </si>
  <si>
    <t xml:space="preserve">43.025258157	</t>
  </si>
  <si>
    <t xml:space="preserve">131.896045816	</t>
  </si>
  <si>
    <t xml:space="preserve">43.025261768	</t>
  </si>
  <si>
    <t xml:space="preserve">131.896051913	</t>
  </si>
  <si>
    <t xml:space="preserve">43.025284144	</t>
  </si>
  <si>
    <t xml:space="preserve">131.896121705	</t>
  </si>
  <si>
    <t xml:space="preserve">43.025290100	</t>
  </si>
  <si>
    <t xml:space="preserve">131.896119206	</t>
  </si>
  <si>
    <t xml:space="preserve">43.025281146	</t>
  </si>
  <si>
    <t xml:space="preserve">131.896162022	</t>
  </si>
  <si>
    <t xml:space="preserve">43.025264519	</t>
  </si>
  <si>
    <t xml:space="preserve">131.896159289	</t>
  </si>
  <si>
    <t xml:space="preserve">43.025266988	</t>
  </si>
  <si>
    <t xml:space="preserve">131.896175028	</t>
  </si>
  <si>
    <t xml:space="preserve">43.025272892	</t>
  </si>
  <si>
    <t xml:space="preserve">131.896196812	</t>
  </si>
  <si>
    <t xml:space="preserve">43.025251228	</t>
  </si>
  <si>
    <t xml:space="preserve">131.896187838	</t>
  </si>
  <si>
    <t xml:space="preserve">43.025239198	</t>
  </si>
  <si>
    <t xml:space="preserve">131.896204760	</t>
  </si>
  <si>
    <t xml:space="preserve">43.025239471	</t>
  </si>
  <si>
    <t xml:space="preserve">131.896209596	</t>
  </si>
  <si>
    <t xml:space="preserve">43.025245413	</t>
  </si>
  <si>
    <t xml:space="preserve">131.896214221	</t>
  </si>
  <si>
    <t xml:space="preserve">43.025246919	</t>
  </si>
  <si>
    <t xml:space="preserve">131.896230888	</t>
  </si>
  <si>
    <t xml:space="preserve">43.025258308	</t>
  </si>
  <si>
    <t xml:space="preserve">131.896229147	</t>
  </si>
  <si>
    <t xml:space="preserve">43.025258854	</t>
  </si>
  <si>
    <t xml:space="preserve">131.896255357	</t>
  </si>
  <si>
    <t xml:space="preserve">43.025271989	</t>
  </si>
  <si>
    <t xml:space="preserve">131.896230574	</t>
  </si>
  <si>
    <t xml:space="preserve">43.025398823	</t>
  </si>
  <si>
    <t xml:space="preserve">131.896204068	</t>
  </si>
  <si>
    <t xml:space="preserve">43.025517591	</t>
  </si>
  <si>
    <t xml:space="preserve">131.896254383	</t>
  </si>
  <si>
    <t xml:space="preserve">43.025516242	</t>
  </si>
  <si>
    <t xml:space="preserve">131.896310572	</t>
  </si>
  <si>
    <t xml:space="preserve">43.025543912	</t>
  </si>
  <si>
    <t xml:space="preserve">131.896277125	</t>
  </si>
  <si>
    <t xml:space="preserve">43.025607830	</t>
  </si>
  <si>
    <t xml:space="preserve">131.896284873	</t>
  </si>
  <si>
    <t xml:space="preserve">43.025650574	</t>
  </si>
  <si>
    <t xml:space="preserve">131.896241315	</t>
  </si>
  <si>
    <t xml:space="preserve">43.025685816	</t>
  </si>
  <si>
    <t xml:space="preserve">131.896211971	</t>
  </si>
  <si>
    <t xml:space="preserve">43.025778352	</t>
  </si>
  <si>
    <t xml:space="preserve">131.896215396	</t>
  </si>
  <si>
    <t xml:space="preserve">43.025805388	</t>
  </si>
  <si>
    <t xml:space="preserve">131.896174418	</t>
  </si>
  <si>
    <t xml:space="preserve">43.025907312	</t>
  </si>
  <si>
    <t xml:space="preserve">131.896113330	</t>
  </si>
  <si>
    <t xml:space="preserve">43.025890982	</t>
  </si>
  <si>
    <t xml:space="preserve">131.896133607	</t>
  </si>
  <si>
    <t xml:space="preserve">43.025878965	</t>
  </si>
  <si>
    <t xml:space="preserve">131.896161868	</t>
  </si>
  <si>
    <t xml:space="preserve">43.025883860	</t>
  </si>
  <si>
    <t xml:space="preserve">131.896163885	</t>
  </si>
  <si>
    <t xml:space="preserve">43.025882062	</t>
  </si>
  <si>
    <t xml:space="preserve">131.896167820	</t>
  </si>
  <si>
    <t xml:space="preserve">43.025886737	</t>
  </si>
  <si>
    <t xml:space="preserve">131.896177186	</t>
  </si>
  <si>
    <t xml:space="preserve">43.025946757	</t>
  </si>
  <si>
    <t xml:space="preserve">131.896300728	</t>
  </si>
  <si>
    <t xml:space="preserve">43.025968426	</t>
  </si>
  <si>
    <t xml:space="preserve">131.896330881	</t>
  </si>
  <si>
    <t xml:space="preserve">43.025958152	</t>
  </si>
  <si>
    <t xml:space="preserve">131.896379935	</t>
  </si>
  <si>
    <t xml:space="preserve">43.025926487	</t>
  </si>
  <si>
    <t xml:space="preserve">131.896433649	</t>
  </si>
  <si>
    <t xml:space="preserve">43.025881038	</t>
  </si>
  <si>
    <t xml:space="preserve">131.896391591	</t>
  </si>
  <si>
    <t xml:space="preserve">43.025884816	</t>
  </si>
  <si>
    <t xml:space="preserve">131.896358607	</t>
  </si>
  <si>
    <t xml:space="preserve">43.025889265	</t>
  </si>
  <si>
    <t xml:space="preserve">131.896353731	</t>
  </si>
  <si>
    <t xml:space="preserve">43.025885516	</t>
  </si>
  <si>
    <t xml:space="preserve">131.896350464	</t>
  </si>
  <si>
    <t xml:space="preserve">43.025866370	</t>
  </si>
  <si>
    <t xml:space="preserve">131.896273829	</t>
  </si>
  <si>
    <t xml:space="preserve">43.025815613	</t>
  </si>
  <si>
    <t xml:space="preserve">131.896305091	</t>
  </si>
  <si>
    <t xml:space="preserve">43.025820427	</t>
  </si>
  <si>
    <t xml:space="preserve">131.896297594	</t>
  </si>
  <si>
    <t xml:space="preserve">43.025770112	</t>
  </si>
  <si>
    <t xml:space="preserve">131.896355414	</t>
  </si>
  <si>
    <t xml:space="preserve">43.025777991	</t>
  </si>
  <si>
    <t xml:space="preserve">131.896390444	</t>
  </si>
  <si>
    <t xml:space="preserve">43.025783861	</t>
  </si>
  <si>
    <t xml:space="preserve">131.896416994	</t>
  </si>
  <si>
    <t xml:space="preserve">43.025805139	</t>
  </si>
  <si>
    <t xml:space="preserve">131.896451386	</t>
  </si>
  <si>
    <t xml:space="preserve">43.025842555	</t>
  </si>
  <si>
    <t xml:space="preserve">131.896498081	</t>
  </si>
  <si>
    <t xml:space="preserve">43.025769287	</t>
  </si>
  <si>
    <t xml:space="preserve">131.896458837	</t>
  </si>
  <si>
    <t xml:space="preserve">43.025768575	</t>
  </si>
  <si>
    <t xml:space="preserve">131.896454070	</t>
  </si>
  <si>
    <t xml:space="preserve">43.025771883	</t>
  </si>
  <si>
    <t xml:space="preserve">131.896446861	</t>
  </si>
  <si>
    <t xml:space="preserve">43.025771890	</t>
  </si>
  <si>
    <t xml:space="preserve">131.896430937	</t>
  </si>
  <si>
    <t xml:space="preserve">43.025765832	</t>
  </si>
  <si>
    <t xml:space="preserve">131.896415763	</t>
  </si>
  <si>
    <t xml:space="preserve">43.025739155	</t>
  </si>
  <si>
    <t xml:space="preserve">131.896396329	</t>
  </si>
  <si>
    <t xml:space="preserve">43.025719001	</t>
  </si>
  <si>
    <t xml:space="preserve">131.896563685	</t>
  </si>
  <si>
    <t xml:space="preserve">43.025679538	</t>
  </si>
  <si>
    <t xml:space="preserve">131.896443881	</t>
  </si>
  <si>
    <t xml:space="preserve">43.025675254	</t>
  </si>
  <si>
    <t xml:space="preserve">131.896441031	</t>
  </si>
  <si>
    <t xml:space="preserve">43.025635771	</t>
  </si>
  <si>
    <t xml:space="preserve">131.896424966	</t>
  </si>
  <si>
    <t xml:space="preserve">43.025647366	</t>
  </si>
  <si>
    <t xml:space="preserve">131.896459033	</t>
  </si>
  <si>
    <t xml:space="preserve">43.025671049	</t>
  </si>
  <si>
    <t xml:space="preserve">131.896569874	</t>
  </si>
  <si>
    <t xml:space="preserve">43.025686711	</t>
  </si>
  <si>
    <t xml:space="preserve">131.896623115	</t>
  </si>
  <si>
    <t xml:space="preserve">43.025633153	</t>
  </si>
  <si>
    <t xml:space="preserve">131.896621801	</t>
  </si>
  <si>
    <t xml:space="preserve">43.025612149	</t>
  </si>
  <si>
    <t xml:space="preserve">131.896565015	</t>
  </si>
  <si>
    <t xml:space="preserve">43.025544912	</t>
  </si>
  <si>
    <t xml:space="preserve">131.896510494	</t>
  </si>
  <si>
    <t xml:space="preserve">43.025561661	</t>
  </si>
  <si>
    <t xml:space="preserve">131.896549860	</t>
  </si>
  <si>
    <t xml:space="preserve">43.025549031	</t>
  </si>
  <si>
    <t xml:space="preserve">131.896649079	</t>
  </si>
  <si>
    <t xml:space="preserve">43.025518112	</t>
  </si>
  <si>
    <t xml:space="preserve">131.896644979	</t>
  </si>
  <si>
    <t xml:space="preserve">43.025511398	</t>
  </si>
  <si>
    <t xml:space="preserve">131.896645555	</t>
  </si>
  <si>
    <t xml:space="preserve">43.025511873	</t>
  </si>
  <si>
    <t xml:space="preserve">131.896658090	</t>
  </si>
  <si>
    <t xml:space="preserve">43.025493273	</t>
  </si>
  <si>
    <t xml:space="preserve">131.896626042	</t>
  </si>
  <si>
    <t xml:space="preserve">43.025492090	</t>
  </si>
  <si>
    <t xml:space="preserve">131.896634253	</t>
  </si>
  <si>
    <t xml:space="preserve">43.025483194	</t>
  </si>
  <si>
    <t xml:space="preserve">131.896665462	</t>
  </si>
  <si>
    <t xml:space="preserve">43.025475954	</t>
  </si>
  <si>
    <t xml:space="preserve">131.896668309	</t>
  </si>
  <si>
    <t xml:space="preserve">43.025472898	</t>
  </si>
  <si>
    <t xml:space="preserve">131.896634041	</t>
  </si>
  <si>
    <t xml:space="preserve">43.025463824	</t>
  </si>
  <si>
    <t xml:space="preserve">131.896561769	</t>
  </si>
  <si>
    <t xml:space="preserve">43.025463441	</t>
  </si>
  <si>
    <t xml:space="preserve">131.896552522	</t>
  </si>
  <si>
    <t xml:space="preserve">43.025470341	</t>
  </si>
  <si>
    <t xml:space="preserve">131.896435501	</t>
  </si>
  <si>
    <t xml:space="preserve">43.025476554	</t>
  </si>
  <si>
    <t xml:space="preserve">131.896431413	</t>
  </si>
  <si>
    <t xml:space="preserve">43.025472165	</t>
  </si>
  <si>
    <t xml:space="preserve">131.896423657	</t>
  </si>
  <si>
    <t xml:space="preserve">43.025467061	</t>
  </si>
  <si>
    <t xml:space="preserve">131.896392136	</t>
  </si>
  <si>
    <t xml:space="preserve">43.025437317	</t>
  </si>
  <si>
    <t xml:space="preserve">131.896347703	</t>
  </si>
  <si>
    <t xml:space="preserve">43.025391548	</t>
  </si>
  <si>
    <t xml:space="preserve">131.896493300	</t>
  </si>
  <si>
    <t xml:space="preserve">43.025376933	</t>
  </si>
  <si>
    <t xml:space="preserve">131.896534460	</t>
  </si>
  <si>
    <t xml:space="preserve">43.025371764	</t>
  </si>
  <si>
    <t xml:space="preserve">131.896506835	</t>
  </si>
  <si>
    <t xml:space="preserve">43.025377745	</t>
  </si>
  <si>
    <t xml:space="preserve">131.896583318	</t>
  </si>
  <si>
    <t xml:space="preserve">43.025375152	</t>
  </si>
  <si>
    <t xml:space="preserve">131.896590212	</t>
  </si>
  <si>
    <t xml:space="preserve">43.025429241	</t>
  </si>
  <si>
    <t xml:space="preserve">131.896597426	</t>
  </si>
  <si>
    <t xml:space="preserve">43.025447313	</t>
  </si>
  <si>
    <t xml:space="preserve">131.896664078	</t>
  </si>
  <si>
    <t xml:space="preserve">43.025402488	</t>
  </si>
  <si>
    <t xml:space="preserve">131.896668796	</t>
  </si>
  <si>
    <t xml:space="preserve">43.025382019	</t>
  </si>
  <si>
    <t xml:space="preserve">131.896714594	</t>
  </si>
  <si>
    <t xml:space="preserve">43.025383858	</t>
  </si>
  <si>
    <t xml:space="preserve">131.896695827	</t>
  </si>
  <si>
    <t xml:space="preserve">43.025388416	</t>
  </si>
  <si>
    <t xml:space="preserve">131.896690583	</t>
  </si>
  <si>
    <t xml:space="preserve">43.025376653	</t>
  </si>
  <si>
    <t xml:space="preserve">131.896666171	</t>
  </si>
  <si>
    <t xml:space="preserve">43.025346400	</t>
  </si>
  <si>
    <t xml:space="preserve">131.896590873	</t>
  </si>
  <si>
    <t xml:space="preserve">43.025335367	</t>
  </si>
  <si>
    <t xml:space="preserve">131.896569962	</t>
  </si>
  <si>
    <t xml:space="preserve">43.025315611	</t>
  </si>
  <si>
    <t xml:space="preserve">131.896646229	</t>
  </si>
  <si>
    <t xml:space="preserve">43.025323597	</t>
  </si>
  <si>
    <t xml:space="preserve">131.896658866	</t>
  </si>
  <si>
    <t xml:space="preserve">43.025313754	</t>
  </si>
  <si>
    <t xml:space="preserve">131.896676527	</t>
  </si>
  <si>
    <t xml:space="preserve">43.025289820	</t>
  </si>
  <si>
    <t xml:space="preserve">131.896603428	</t>
  </si>
  <si>
    <t xml:space="preserve">43.025270349	</t>
  </si>
  <si>
    <t xml:space="preserve">131.896562822	</t>
  </si>
  <si>
    <t xml:space="preserve">43.025276218	</t>
  </si>
  <si>
    <t xml:space="preserve">131.896551413	</t>
  </si>
  <si>
    <t xml:space="preserve">43.025273038	</t>
  </si>
  <si>
    <t xml:space="preserve">131.896546663	</t>
  </si>
  <si>
    <t xml:space="preserve">43.025275681	</t>
  </si>
  <si>
    <t xml:space="preserve">131.896545957	</t>
  </si>
  <si>
    <t xml:space="preserve">43.025279869	</t>
  </si>
  <si>
    <t xml:space="preserve">131.896548137	</t>
  </si>
  <si>
    <t xml:space="preserve">43.025288435	</t>
  </si>
  <si>
    <t xml:space="preserve">131.896542827	</t>
  </si>
  <si>
    <t xml:space="preserve">43.025325232	</t>
  </si>
  <si>
    <t xml:space="preserve">131.896501745	</t>
  </si>
  <si>
    <t xml:space="preserve">43.025340404	</t>
  </si>
  <si>
    <t xml:space="preserve">131.896474347	</t>
  </si>
  <si>
    <t xml:space="preserve">43.025377975	</t>
  </si>
  <si>
    <t xml:space="preserve">131.896406115	</t>
  </si>
  <si>
    <t xml:space="preserve">43.025371914	</t>
  </si>
  <si>
    <t xml:space="preserve">131.896380286	</t>
  </si>
  <si>
    <t xml:space="preserve">43.025374776	</t>
  </si>
  <si>
    <t xml:space="preserve">131.896364729	</t>
  </si>
  <si>
    <t xml:space="preserve">43.025365454	</t>
  </si>
  <si>
    <t xml:space="preserve">131.896360639	</t>
  </si>
  <si>
    <t xml:space="preserve">43.025335151	</t>
  </si>
  <si>
    <t xml:space="preserve">131.896373630	</t>
  </si>
  <si>
    <t xml:space="preserve">43.025327568	</t>
  </si>
  <si>
    <t xml:space="preserve">131.896336383	</t>
  </si>
  <si>
    <t xml:space="preserve">43.025308833	</t>
  </si>
  <si>
    <t xml:space="preserve">131.896322359	</t>
  </si>
  <si>
    <t xml:space="preserve">43.025301660	</t>
  </si>
  <si>
    <t xml:space="preserve">131.896314591	</t>
  </si>
  <si>
    <t xml:space="preserve">43.025300053	</t>
  </si>
  <si>
    <t xml:space="preserve">131.896304401	</t>
  </si>
  <si>
    <t xml:space="preserve">43.025296045	</t>
  </si>
  <si>
    <t xml:space="preserve">131.896298540	</t>
  </si>
  <si>
    <t xml:space="preserve">43.025292529	</t>
  </si>
  <si>
    <t xml:space="preserve">131.896295936	</t>
  </si>
  <si>
    <t xml:space="preserve">43.025279368	</t>
  </si>
  <si>
    <t xml:space="preserve">131.896306081	</t>
  </si>
  <si>
    <t xml:space="preserve">43.025229287	</t>
  </si>
  <si>
    <t xml:space="preserve">131.896291715	</t>
  </si>
  <si>
    <t xml:space="preserve">43.025233558	</t>
  </si>
  <si>
    <t xml:space="preserve">131.896310098	</t>
  </si>
  <si>
    <t xml:space="preserve">43.025236396	</t>
  </si>
  <si>
    <t xml:space="preserve">131.896320300	</t>
  </si>
  <si>
    <t xml:space="preserve">43.025228195	</t>
  </si>
  <si>
    <t xml:space="preserve">131.896325411	</t>
  </si>
  <si>
    <t xml:space="preserve">43.025226079	</t>
  </si>
  <si>
    <t xml:space="preserve">131.896332850	</t>
  </si>
  <si>
    <t xml:space="preserve">43.025225611	</t>
  </si>
  <si>
    <t xml:space="preserve">131.896361176	</t>
  </si>
  <si>
    <t xml:space="preserve">43.025242491	</t>
  </si>
  <si>
    <t xml:space="preserve">131.896378430	</t>
  </si>
  <si>
    <t xml:space="preserve">43.025249074	</t>
  </si>
  <si>
    <t xml:space="preserve">131.896404378	</t>
  </si>
  <si>
    <t xml:space="preserve">43.025265305	</t>
  </si>
  <si>
    <t xml:space="preserve">131.896376894	</t>
  </si>
  <si>
    <t xml:space="preserve">43.025301280	</t>
  </si>
  <si>
    <t xml:space="preserve">131.896392420	</t>
  </si>
  <si>
    <t xml:space="preserve">43.025304231	</t>
  </si>
  <si>
    <t xml:space="preserve">131.896446952	</t>
  </si>
  <si>
    <t xml:space="preserve">43.025286265	</t>
  </si>
  <si>
    <t xml:space="preserve">131.896456653	</t>
  </si>
  <si>
    <t xml:space="preserve">43.025254506	</t>
  </si>
  <si>
    <t xml:space="preserve">131.896503285	</t>
  </si>
  <si>
    <t xml:space="preserve">43.025265918	</t>
  </si>
  <si>
    <t xml:space="preserve">131.896496651	</t>
  </si>
  <si>
    <t xml:space="preserve">43.025270020	</t>
  </si>
  <si>
    <t xml:space="preserve">131.896495916	</t>
  </si>
  <si>
    <t xml:space="preserve">43.025291394	</t>
  </si>
  <si>
    <t xml:space="preserve">131.896510795	</t>
  </si>
  <si>
    <t>N</t>
  </si>
  <si>
    <t>Y</t>
  </si>
  <si>
    <t>X</t>
  </si>
  <si>
    <t>Z</t>
  </si>
  <si>
    <t>code</t>
  </si>
  <si>
    <t>name</t>
  </si>
  <si>
    <t>komment</t>
  </si>
  <si>
    <t>Tilia mandshurica</t>
  </si>
  <si>
    <t>обхват</t>
  </si>
  <si>
    <t>Fraxinus chinensis</t>
  </si>
  <si>
    <t>Fraxinus mandshurica</t>
  </si>
  <si>
    <t>Betula davurica</t>
  </si>
  <si>
    <t>29;22</t>
  </si>
  <si>
    <t>Juglans mandshurica</t>
  </si>
  <si>
    <t>Tilia amurensis</t>
  </si>
  <si>
    <t>Betula platyphyla</t>
  </si>
  <si>
    <t>31,5;24;29,5</t>
  </si>
  <si>
    <t>35,5;37,5</t>
  </si>
  <si>
    <t>32;27;29</t>
  </si>
  <si>
    <t>86;81</t>
  </si>
  <si>
    <t>Quercus mongolica</t>
  </si>
  <si>
    <t>81;89</t>
  </si>
  <si>
    <t>Alnus hirsuta</t>
  </si>
  <si>
    <t>102;129</t>
  </si>
  <si>
    <t>Acer mono</t>
  </si>
  <si>
    <t>84;85</t>
  </si>
  <si>
    <t>100;78</t>
  </si>
  <si>
    <t>97;100</t>
  </si>
  <si>
    <t>41;18,5;17</t>
  </si>
  <si>
    <t>Kalopanax septemlobus</t>
  </si>
  <si>
    <t>мертв</t>
  </si>
  <si>
    <t>29;28;37;21</t>
  </si>
  <si>
    <t>32;13;33;23;21</t>
  </si>
  <si>
    <t>32;25</t>
  </si>
  <si>
    <t>26;45</t>
  </si>
  <si>
    <t>26;17</t>
  </si>
  <si>
    <t>115;19;24;14;18</t>
  </si>
  <si>
    <t>95;13;15;20;18</t>
  </si>
  <si>
    <t>37;31</t>
  </si>
  <si>
    <t>Cerasus maximowiczii</t>
  </si>
  <si>
    <t>Salix caprea</t>
  </si>
  <si>
    <t>20;27</t>
  </si>
  <si>
    <t>33;22</t>
  </si>
  <si>
    <t>15;11</t>
  </si>
  <si>
    <t>18;25</t>
  </si>
  <si>
    <t>15;13</t>
  </si>
  <si>
    <t>167;203</t>
  </si>
  <si>
    <t>Maackia amurensis</t>
  </si>
  <si>
    <t>Alnus japonica</t>
  </si>
  <si>
    <t>Phellodendron amurensis</t>
  </si>
  <si>
    <t>97;14;12;16</t>
  </si>
  <si>
    <t>89;106</t>
  </si>
  <si>
    <t>31;26</t>
  </si>
  <si>
    <t>24;13;17</t>
  </si>
  <si>
    <t>96;89</t>
  </si>
  <si>
    <t>Aralia elata</t>
  </si>
  <si>
    <t>38;97</t>
  </si>
  <si>
    <t>27;41</t>
  </si>
  <si>
    <t>18;14</t>
  </si>
  <si>
    <t>37;47;61</t>
  </si>
  <si>
    <t>88;90;19</t>
  </si>
  <si>
    <t>96;90</t>
  </si>
  <si>
    <t>24;15</t>
  </si>
  <si>
    <t>мертвый</t>
  </si>
  <si>
    <t>41;31</t>
  </si>
  <si>
    <t>37;44</t>
  </si>
  <si>
    <t>22;12</t>
  </si>
  <si>
    <t>40;38</t>
  </si>
  <si>
    <t>30 Juglans mandshurica 19 Phellodendron amurensis</t>
  </si>
  <si>
    <t>30;18</t>
  </si>
  <si>
    <t>43;42;46</t>
  </si>
  <si>
    <t>61 Betula platyphyla 27 Betula davurica</t>
  </si>
  <si>
    <t>плюс 1</t>
  </si>
  <si>
    <t>11;17</t>
  </si>
  <si>
    <t>7;8</t>
  </si>
  <si>
    <t xml:space="preserve">43.025336109	</t>
  </si>
  <si>
    <t xml:space="preserve">131.896814199	</t>
  </si>
  <si>
    <t xml:space="preserve">43.025377309	</t>
  </si>
  <si>
    <t xml:space="preserve">131.896798376	</t>
  </si>
  <si>
    <t xml:space="preserve">43.025379156	</t>
  </si>
  <si>
    <t xml:space="preserve">131.896829114	</t>
  </si>
  <si>
    <t xml:space="preserve">43.025389735	</t>
  </si>
  <si>
    <t xml:space="preserve">131.896846665	</t>
  </si>
  <si>
    <t xml:space="preserve">43.025405131	</t>
  </si>
  <si>
    <t xml:space="preserve">131.896847072	</t>
  </si>
  <si>
    <t xml:space="preserve">43.025413792	</t>
  </si>
  <si>
    <t xml:space="preserve">131.896811334	</t>
  </si>
  <si>
    <t xml:space="preserve">43.025410942	</t>
  </si>
  <si>
    <t xml:space="preserve">131.896860499	</t>
  </si>
  <si>
    <t xml:space="preserve">43.025432110	</t>
  </si>
  <si>
    <t xml:space="preserve">131.896859424	</t>
  </si>
  <si>
    <t xml:space="preserve">43.025429321	</t>
  </si>
  <si>
    <t xml:space="preserve">131.896760614	</t>
  </si>
  <si>
    <t xml:space="preserve">43.025466458	</t>
  </si>
  <si>
    <t xml:space="preserve">131.896845508	</t>
  </si>
  <si>
    <t xml:space="preserve">43.025465171	</t>
  </si>
  <si>
    <t xml:space="preserve">131.896789648	</t>
  </si>
  <si>
    <t xml:space="preserve">43.025464043	</t>
  </si>
  <si>
    <t xml:space="preserve">131.896778501	</t>
  </si>
  <si>
    <t xml:space="preserve">43.025463759	</t>
  </si>
  <si>
    <t xml:space="preserve">131.896780312	</t>
  </si>
  <si>
    <t xml:space="preserve">43.025466860	</t>
  </si>
  <si>
    <t xml:space="preserve">131.896779878	</t>
  </si>
  <si>
    <t xml:space="preserve">43.025464845	</t>
  </si>
  <si>
    <t xml:space="preserve">131.896782468	</t>
  </si>
  <si>
    <t xml:space="preserve">43.025494180	</t>
  </si>
  <si>
    <t xml:space="preserve">131.896784758	</t>
  </si>
  <si>
    <t xml:space="preserve">43.025511559	</t>
  </si>
  <si>
    <t xml:space="preserve">131.896775921	</t>
  </si>
  <si>
    <t xml:space="preserve">43.025521390	</t>
  </si>
  <si>
    <t xml:space="preserve">131.896752957	</t>
  </si>
  <si>
    <t xml:space="preserve">43.025527496	</t>
  </si>
  <si>
    <t xml:space="preserve">131.896757990	</t>
  </si>
  <si>
    <t xml:space="preserve">43.025536325	</t>
  </si>
  <si>
    <t xml:space="preserve">131.896776187	</t>
  </si>
  <si>
    <t xml:space="preserve">43.025541981	</t>
  </si>
  <si>
    <t xml:space="preserve">131.896767851	</t>
  </si>
  <si>
    <t xml:space="preserve">43.025553262	</t>
  </si>
  <si>
    <t xml:space="preserve">131.896791491	</t>
  </si>
  <si>
    <t xml:space="preserve">43.025373741	</t>
  </si>
  <si>
    <t xml:space="preserve">131.896935319	</t>
  </si>
  <si>
    <t xml:space="preserve">43.025377717	</t>
  </si>
  <si>
    <t xml:space="preserve">131.896941214	</t>
  </si>
  <si>
    <t xml:space="preserve">43.025380192	</t>
  </si>
  <si>
    <t xml:space="preserve">131.896968992	</t>
  </si>
  <si>
    <t xml:space="preserve">43.025385100	</t>
  </si>
  <si>
    <t xml:space="preserve">131.896982972	</t>
  </si>
  <si>
    <t xml:space="preserve">43.025411144	</t>
  </si>
  <si>
    <t xml:space="preserve">131.897038071	</t>
  </si>
  <si>
    <t xml:space="preserve">43.025455903	</t>
  </si>
  <si>
    <t xml:space="preserve">131.897126560	</t>
  </si>
  <si>
    <t xml:space="preserve">43.025483750	</t>
  </si>
  <si>
    <t xml:space="preserve">131.897140370	</t>
  </si>
  <si>
    <t xml:space="preserve">43.025501837	</t>
  </si>
  <si>
    <t xml:space="preserve">131.897166488	</t>
  </si>
  <si>
    <t xml:space="preserve">43.025502626	</t>
  </si>
  <si>
    <t xml:space="preserve">131.897168368	</t>
  </si>
  <si>
    <t xml:space="preserve">43.025524289	</t>
  </si>
  <si>
    <t xml:space="preserve">131.897227016	</t>
  </si>
  <si>
    <t xml:space="preserve">43.025550217	</t>
  </si>
  <si>
    <t xml:space="preserve">131.897253470	</t>
  </si>
  <si>
    <t xml:space="preserve">43.025553260	</t>
  </si>
  <si>
    <t xml:space="preserve">131.897283830	</t>
  </si>
  <si>
    <t xml:space="preserve">43.025565271	</t>
  </si>
  <si>
    <t xml:space="preserve">131.897284140	</t>
  </si>
  <si>
    <t xml:space="preserve">43.025566125	</t>
  </si>
  <si>
    <t xml:space="preserve">131.897292397	</t>
  </si>
  <si>
    <t xml:space="preserve">43.025629791	</t>
  </si>
  <si>
    <t xml:space="preserve">131.897397610	</t>
  </si>
  <si>
    <t xml:space="preserve">43.025563160	</t>
  </si>
  <si>
    <t xml:space="preserve">131.897232235	</t>
  </si>
  <si>
    <t xml:space="preserve">43.025551400	</t>
  </si>
  <si>
    <t xml:space="preserve">131.897215071	</t>
  </si>
  <si>
    <t xml:space="preserve">43.025558180	</t>
  </si>
  <si>
    <t xml:space="preserve">131.897201485	</t>
  </si>
  <si>
    <t xml:space="preserve">43.025565470	</t>
  </si>
  <si>
    <t xml:space="preserve">131.897196006	</t>
  </si>
  <si>
    <t xml:space="preserve">43.025438684	</t>
  </si>
  <si>
    <t xml:space="preserve">131.896885907	</t>
  </si>
  <si>
    <t xml:space="preserve">43.025452140	</t>
  </si>
  <si>
    <t xml:space="preserve">131.896862482	</t>
  </si>
  <si>
    <t xml:space="preserve">43.025452823	</t>
  </si>
  <si>
    <t xml:space="preserve">131.896886747	</t>
  </si>
  <si>
    <t xml:space="preserve">43.025457818	</t>
  </si>
  <si>
    <t xml:space="preserve">131.896872272	</t>
  </si>
  <si>
    <t xml:space="preserve">43.025421150	</t>
  </si>
  <si>
    <t xml:space="preserve">131.896952610	</t>
  </si>
  <si>
    <t xml:space="preserve">43.025469445	</t>
  </si>
  <si>
    <t xml:space="preserve">131.896954564	</t>
  </si>
  <si>
    <t xml:space="preserve">43.025471369	</t>
  </si>
  <si>
    <t xml:space="preserve">131.896943209	</t>
  </si>
  <si>
    <t xml:space="preserve">43.025482410	</t>
  </si>
  <si>
    <t xml:space="preserve">131.896931516	</t>
  </si>
  <si>
    <t xml:space="preserve">43.025493131	</t>
  </si>
  <si>
    <t xml:space="preserve">131.896962742	</t>
  </si>
  <si>
    <t xml:space="preserve">43.025496883	</t>
  </si>
  <si>
    <t xml:space="preserve">131.896971714	</t>
  </si>
  <si>
    <t xml:space="preserve">43.025497722	</t>
  </si>
  <si>
    <t xml:space="preserve">131.896977562	</t>
  </si>
  <si>
    <t xml:space="preserve">43.025509100	</t>
  </si>
  <si>
    <t xml:space="preserve">131.896978752	</t>
  </si>
  <si>
    <t xml:space="preserve">43.025511158	</t>
  </si>
  <si>
    <t xml:space="preserve">131.896946748	</t>
  </si>
  <si>
    <t xml:space="preserve">43.025513715	</t>
  </si>
  <si>
    <t xml:space="preserve">131.896942897	</t>
  </si>
  <si>
    <t xml:space="preserve">43.025525805	</t>
  </si>
  <si>
    <t xml:space="preserve">131.896950515	</t>
  </si>
  <si>
    <t xml:space="preserve">43.025535227	</t>
  </si>
  <si>
    <t xml:space="preserve">131.896938645	</t>
  </si>
  <si>
    <t xml:space="preserve">43.025522623	</t>
  </si>
  <si>
    <t xml:space="preserve">131.896931197	</t>
  </si>
  <si>
    <t xml:space="preserve">43.025545127	</t>
  </si>
  <si>
    <t xml:space="preserve">131.896952255	</t>
  </si>
  <si>
    <t xml:space="preserve">43.025562814	</t>
  </si>
  <si>
    <t xml:space="preserve">131.896958145	</t>
  </si>
  <si>
    <t xml:space="preserve">43.025580710	</t>
  </si>
  <si>
    <t xml:space="preserve">131.897012250	</t>
  </si>
  <si>
    <t xml:space="preserve">43.025540631	</t>
  </si>
  <si>
    <t xml:space="preserve">131.897034026	</t>
  </si>
  <si>
    <t xml:space="preserve">43.025538493	</t>
  </si>
  <si>
    <t xml:space="preserve">131.897043856	</t>
  </si>
  <si>
    <t xml:space="preserve">43.025490100	</t>
  </si>
  <si>
    <t xml:space="preserve">131.897067016	</t>
  </si>
  <si>
    <t xml:space="preserve">43.025464959	</t>
  </si>
  <si>
    <t xml:space="preserve">131.897079290	</t>
  </si>
  <si>
    <t xml:space="preserve">43.025526260	</t>
  </si>
  <si>
    <t xml:space="preserve">131.897112437	</t>
  </si>
  <si>
    <t xml:space="preserve">43.025563068	</t>
  </si>
  <si>
    <t xml:space="preserve">131.897082316	</t>
  </si>
  <si>
    <t xml:space="preserve">43.025611488	</t>
  </si>
  <si>
    <t xml:space="preserve">131.897174303	</t>
  </si>
  <si>
    <t xml:space="preserve">43.025616766	</t>
  </si>
  <si>
    <t xml:space="preserve">131.897173984	</t>
  </si>
  <si>
    <t xml:space="preserve">43.025619130	</t>
  </si>
  <si>
    <t xml:space="preserve">131.897171682	</t>
  </si>
  <si>
    <t xml:space="preserve">43.025617883	</t>
  </si>
  <si>
    <t xml:space="preserve">131.897169693	</t>
  </si>
  <si>
    <t xml:space="preserve">43.025629034	</t>
  </si>
  <si>
    <t xml:space="preserve">131.897207107	</t>
  </si>
  <si>
    <t xml:space="preserve">43.025603176	</t>
  </si>
  <si>
    <t xml:space="preserve">131.897226630	</t>
  </si>
  <si>
    <t xml:space="preserve">43.025612140	</t>
  </si>
  <si>
    <t xml:space="preserve">131.897296234	</t>
  </si>
  <si>
    <t xml:space="preserve">43.025626126	</t>
  </si>
  <si>
    <t xml:space="preserve">131.897155634	</t>
  </si>
  <si>
    <t xml:space="preserve">43.025668081	</t>
  </si>
  <si>
    <t xml:space="preserve">131.897087876	</t>
  </si>
  <si>
    <t xml:space="preserve">43.025661498	</t>
  </si>
  <si>
    <t xml:space="preserve">131.897068716	</t>
  </si>
  <si>
    <t xml:space="preserve">43.025675747	</t>
  </si>
  <si>
    <t xml:space="preserve">131.897015844	</t>
  </si>
  <si>
    <t xml:space="preserve">43.025677376	</t>
  </si>
  <si>
    <t xml:space="preserve">131.897004405	</t>
  </si>
  <si>
    <t xml:space="preserve">43.025613444	</t>
  </si>
  <si>
    <t xml:space="preserve">131.897038682	</t>
  </si>
  <si>
    <t xml:space="preserve">43.025621916	</t>
  </si>
  <si>
    <t xml:space="preserve">131.896977272	</t>
  </si>
  <si>
    <t xml:space="preserve">43.025609029	</t>
  </si>
  <si>
    <t xml:space="preserve">131.896966611	</t>
  </si>
  <si>
    <t xml:space="preserve">43.025597332	</t>
  </si>
  <si>
    <t xml:space="preserve">131.896953499	</t>
  </si>
  <si>
    <t xml:space="preserve">43.025583548	</t>
  </si>
  <si>
    <t xml:space="preserve">131.896948079	</t>
  </si>
  <si>
    <t xml:space="preserve">43.025581760	</t>
  </si>
  <si>
    <t xml:space="preserve">131.896941542	</t>
  </si>
  <si>
    <t xml:space="preserve">43.025580362	</t>
  </si>
  <si>
    <t xml:space="preserve">131.896936953	</t>
  </si>
  <si>
    <t xml:space="preserve">43.025595493	</t>
  </si>
  <si>
    <t xml:space="preserve">131.896935448	</t>
  </si>
  <si>
    <t xml:space="preserve">43.025597451	</t>
  </si>
  <si>
    <t xml:space="preserve">131.896932605	</t>
  </si>
  <si>
    <t xml:space="preserve">43.025611275	</t>
  </si>
  <si>
    <t xml:space="preserve">131.896935501	</t>
  </si>
  <si>
    <t xml:space="preserve">43.025631271	</t>
  </si>
  <si>
    <t xml:space="preserve">131.896942512	</t>
  </si>
  <si>
    <t xml:space="preserve">43.025633453	</t>
  </si>
  <si>
    <t xml:space="preserve">131.896988104	</t>
  </si>
  <si>
    <t xml:space="preserve">43.025640504	</t>
  </si>
  <si>
    <t xml:space="preserve">131.896992476	</t>
  </si>
  <si>
    <t xml:space="preserve">43.025671262	</t>
  </si>
  <si>
    <t xml:space="preserve">131.896976755	</t>
  </si>
  <si>
    <t xml:space="preserve">43.025664194	</t>
  </si>
  <si>
    <t xml:space="preserve">131.896976266	</t>
  </si>
  <si>
    <t xml:space="preserve">43.025665174	</t>
  </si>
  <si>
    <t xml:space="preserve">131.896951054	</t>
  </si>
  <si>
    <t xml:space="preserve">43.025656396	</t>
  </si>
  <si>
    <t xml:space="preserve">131.896951910	</t>
  </si>
  <si>
    <t xml:space="preserve">43.025657512	</t>
  </si>
  <si>
    <t xml:space="preserve">131.896941031	</t>
  </si>
  <si>
    <t xml:space="preserve">43.025684062	</t>
  </si>
  <si>
    <t xml:space="preserve">131.896919528	</t>
  </si>
  <si>
    <t xml:space="preserve">43.025660312	</t>
  </si>
  <si>
    <t xml:space="preserve">131.896905726	</t>
  </si>
  <si>
    <t xml:space="preserve">43.025692856	</t>
  </si>
  <si>
    <t xml:space="preserve">131.896884362	</t>
  </si>
  <si>
    <t xml:space="preserve">43.025672191	</t>
  </si>
  <si>
    <t xml:space="preserve">131.896879348	</t>
  </si>
  <si>
    <t xml:space="preserve">43.025668639	</t>
  </si>
  <si>
    <t xml:space="preserve">131.896870932	</t>
  </si>
  <si>
    <t xml:space="preserve">43.025630952	</t>
  </si>
  <si>
    <t xml:space="preserve">131.896904288	</t>
  </si>
  <si>
    <t xml:space="preserve">43.025624372	</t>
  </si>
  <si>
    <t xml:space="preserve">131.896905083	</t>
  </si>
  <si>
    <t xml:space="preserve">43.025613825	</t>
  </si>
  <si>
    <t xml:space="preserve">131.896910333	</t>
  </si>
  <si>
    <t xml:space="preserve">43.025608935	</t>
  </si>
  <si>
    <t xml:space="preserve">131.896907722	</t>
  </si>
  <si>
    <t xml:space="preserve">43.025599637	</t>
  </si>
  <si>
    <t xml:space="preserve">131.896897136	</t>
  </si>
  <si>
    <t xml:space="preserve">43.025583013	</t>
  </si>
  <si>
    <t xml:space="preserve">131.896914333	</t>
  </si>
  <si>
    <t xml:space="preserve">43.025578588	</t>
  </si>
  <si>
    <t xml:space="preserve">131.896898986	</t>
  </si>
  <si>
    <t xml:space="preserve">43.025576096	</t>
  </si>
  <si>
    <t xml:space="preserve">131.896903126	</t>
  </si>
  <si>
    <t xml:space="preserve">43.025624350	</t>
  </si>
  <si>
    <t xml:space="preserve">131.896857052	</t>
  </si>
  <si>
    <t xml:space="preserve">43.025632125	</t>
  </si>
  <si>
    <t xml:space="preserve">131.896831222	</t>
  </si>
  <si>
    <t xml:space="preserve">43.025602221	</t>
  </si>
  <si>
    <t xml:space="preserve">131.896855296	</t>
  </si>
  <si>
    <t xml:space="preserve">43.025605609	</t>
  </si>
  <si>
    <t xml:space="preserve">131.896815691	</t>
  </si>
  <si>
    <t xml:space="preserve">43.025623147	</t>
  </si>
  <si>
    <t xml:space="preserve">131.896793273	</t>
  </si>
  <si>
    <t xml:space="preserve">43.025599687	</t>
  </si>
  <si>
    <t xml:space="preserve">131.896803742	</t>
  </si>
  <si>
    <t xml:space="preserve">43.025580151	</t>
  </si>
  <si>
    <t xml:space="preserve">131.896806439	</t>
  </si>
  <si>
    <t xml:space="preserve">43.025561635	</t>
  </si>
  <si>
    <t xml:space="preserve">131.896818833	</t>
  </si>
  <si>
    <t xml:space="preserve">43.025553760	</t>
  </si>
  <si>
    <t xml:space="preserve">131.896851819	</t>
  </si>
  <si>
    <t xml:space="preserve">43.025549232	</t>
  </si>
  <si>
    <t xml:space="preserve">131.896879872	</t>
  </si>
  <si>
    <t xml:space="preserve">43.025535617	</t>
  </si>
  <si>
    <t xml:space="preserve">131.896901605	</t>
  </si>
  <si>
    <t xml:space="preserve">43.025532183	</t>
  </si>
  <si>
    <t xml:space="preserve">131.896907277	</t>
  </si>
  <si>
    <t xml:space="preserve">43.025526748	</t>
  </si>
  <si>
    <t xml:space="preserve">131.896883076	</t>
  </si>
  <si>
    <t xml:space="preserve">43.025522283	</t>
  </si>
  <si>
    <t xml:space="preserve">131.896873982	</t>
  </si>
  <si>
    <t xml:space="preserve">43.025505978	</t>
  </si>
  <si>
    <t xml:space="preserve">131.896896635	</t>
  </si>
  <si>
    <t xml:space="preserve">43.025508816	</t>
  </si>
  <si>
    <t xml:space="preserve">131.896864902	</t>
  </si>
  <si>
    <t xml:space="preserve">43.025499594	</t>
  </si>
  <si>
    <t xml:space="preserve">131.896847277	</t>
  </si>
  <si>
    <t xml:space="preserve">43.025488091	</t>
  </si>
  <si>
    <t xml:space="preserve">131.896834976	</t>
  </si>
  <si>
    <t xml:space="preserve">43.025514628	</t>
  </si>
  <si>
    <t xml:space="preserve">131.896819286	</t>
  </si>
  <si>
    <t xml:space="preserve">43.025528391	</t>
  </si>
  <si>
    <t xml:space="preserve">131.896815622	</t>
  </si>
  <si>
    <t xml:space="preserve">43.025537691	</t>
  </si>
  <si>
    <t xml:space="preserve">131.896812866	</t>
  </si>
  <si>
    <t xml:space="preserve">43.025526901	</t>
  </si>
  <si>
    <t xml:space="preserve">131.896754217	</t>
  </si>
  <si>
    <t xml:space="preserve">43.025529569	</t>
  </si>
  <si>
    <t xml:space="preserve">131.896750213	</t>
  </si>
  <si>
    <t xml:space="preserve">43.025519841	</t>
  </si>
  <si>
    <t xml:space="preserve">131.896743601	</t>
  </si>
  <si>
    <t xml:space="preserve">43.025541342	</t>
  </si>
  <si>
    <t xml:space="preserve">131.896746339	</t>
  </si>
  <si>
    <t xml:space="preserve">43.025538006	</t>
  </si>
  <si>
    <t xml:space="preserve">131.896741087	</t>
  </si>
  <si>
    <t xml:space="preserve">43.025540203	</t>
  </si>
  <si>
    <t xml:space="preserve">131.896738919	</t>
  </si>
  <si>
    <t xml:space="preserve">43.025628055	</t>
  </si>
  <si>
    <t xml:space="preserve">131.896738304	</t>
  </si>
  <si>
    <t xml:space="preserve">43.025715899	</t>
  </si>
  <si>
    <t xml:space="preserve">131.896703083	</t>
  </si>
  <si>
    <t xml:space="preserve">43.025716595	</t>
  </si>
  <si>
    <t xml:space="preserve">131.896710406	</t>
  </si>
  <si>
    <t xml:space="preserve">43.025909066	</t>
  </si>
  <si>
    <t xml:space="preserve">131.895920687	</t>
  </si>
  <si>
    <t xml:space="preserve">43.025946167	</t>
  </si>
  <si>
    <t xml:space="preserve">131.895878027	</t>
  </si>
  <si>
    <t xml:space="preserve">43.026009552	</t>
  </si>
  <si>
    <t xml:space="preserve">131.895813430	</t>
  </si>
  <si>
    <t xml:space="preserve">43.026013271	</t>
  </si>
  <si>
    <t xml:space="preserve">131.895803916	</t>
  </si>
  <si>
    <t xml:space="preserve">43.026010794	</t>
  </si>
  <si>
    <t xml:space="preserve">131.895780104	</t>
  </si>
  <si>
    <t xml:space="preserve">43.026008841	</t>
  </si>
  <si>
    <t xml:space="preserve">131.895765415	</t>
  </si>
  <si>
    <t xml:space="preserve">43.026013395	</t>
  </si>
  <si>
    <t xml:space="preserve">131.895796357	</t>
  </si>
  <si>
    <t xml:space="preserve">43.026023392	</t>
  </si>
  <si>
    <t xml:space="preserve">131.895843119	</t>
  </si>
  <si>
    <t xml:space="preserve">43.026024861	</t>
  </si>
  <si>
    <t xml:space="preserve">131.895843412	</t>
  </si>
  <si>
    <t xml:space="preserve">43.026041002	</t>
  </si>
  <si>
    <t xml:space="preserve">131.895839334	</t>
  </si>
  <si>
    <t xml:space="preserve">43.026040513	</t>
  </si>
  <si>
    <t xml:space="preserve">131.895841999	</t>
  </si>
  <si>
    <t xml:space="preserve">43.026003749	</t>
  </si>
  <si>
    <t xml:space="preserve">131.895894065	</t>
  </si>
  <si>
    <t xml:space="preserve">43.025976540	</t>
  </si>
  <si>
    <t xml:space="preserve">131.895924785	</t>
  </si>
  <si>
    <t xml:space="preserve">43.025981217	</t>
  </si>
  <si>
    <t xml:space="preserve">131.895930977	</t>
  </si>
  <si>
    <t xml:space="preserve">43.026005090	</t>
  </si>
  <si>
    <t xml:space="preserve">131.895970755	</t>
  </si>
  <si>
    <t xml:space="preserve">43.026007688	</t>
  </si>
  <si>
    <t xml:space="preserve">131.895966082	</t>
  </si>
  <si>
    <t xml:space="preserve">43.025997145	</t>
  </si>
  <si>
    <t xml:space="preserve">131.895925157	</t>
  </si>
  <si>
    <t xml:space="preserve">43.026018661	</t>
  </si>
  <si>
    <t xml:space="preserve">131.895990933	</t>
  </si>
  <si>
    <t xml:space="preserve">43.025984556	</t>
  </si>
  <si>
    <t xml:space="preserve">131.896052991	</t>
  </si>
  <si>
    <t xml:space="preserve">43.025987090	</t>
  </si>
  <si>
    <t xml:space="preserve">131.896047715	</t>
  </si>
  <si>
    <t xml:space="preserve">43.026028412	</t>
  </si>
  <si>
    <t xml:space="preserve">131.896018855	</t>
  </si>
  <si>
    <t xml:space="preserve">43.026027451	</t>
  </si>
  <si>
    <t xml:space="preserve">131.896012794	</t>
  </si>
  <si>
    <t xml:space="preserve">43.026098323	</t>
  </si>
  <si>
    <t xml:space="preserve">131.895999163	</t>
  </si>
  <si>
    <t xml:space="preserve">43.026105590	</t>
  </si>
  <si>
    <t xml:space="preserve">131.896006084	</t>
  </si>
  <si>
    <t xml:space="preserve">43.026102171	</t>
  </si>
  <si>
    <t xml:space="preserve">131.895928484	</t>
  </si>
  <si>
    <t xml:space="preserve">43.026150121	</t>
  </si>
  <si>
    <t xml:space="preserve">131.895879495	</t>
  </si>
  <si>
    <t xml:space="preserve">43.026152592	</t>
  </si>
  <si>
    <t xml:space="preserve">131.895874840	</t>
  </si>
  <si>
    <t xml:space="preserve">43.026153304	</t>
  </si>
  <si>
    <t xml:space="preserve">131.896042408	</t>
  </si>
  <si>
    <t xml:space="preserve">43.026152571	</t>
  </si>
  <si>
    <t xml:space="preserve">131.896032585	</t>
  </si>
  <si>
    <t xml:space="preserve">43.026158128	</t>
  </si>
  <si>
    <t xml:space="preserve">131.896040896	</t>
  </si>
  <si>
    <t xml:space="preserve">43.026161413	</t>
  </si>
  <si>
    <t xml:space="preserve">131.896038106	</t>
  </si>
  <si>
    <t xml:space="preserve">43.026170587	</t>
  </si>
  <si>
    <t xml:space="preserve">131.896042855	</t>
  </si>
  <si>
    <t xml:space="preserve">43.026171949	</t>
  </si>
  <si>
    <t xml:space="preserve">131.895983127	</t>
  </si>
  <si>
    <t xml:space="preserve">43.026179713	</t>
  </si>
  <si>
    <t xml:space="preserve">131.895979751	</t>
  </si>
  <si>
    <t xml:space="preserve">43.026167953	</t>
  </si>
  <si>
    <t xml:space="preserve">131.895959896	</t>
  </si>
  <si>
    <t xml:space="preserve">43.026229365	</t>
  </si>
  <si>
    <t xml:space="preserve">131.896009267	</t>
  </si>
  <si>
    <t xml:space="preserve">43.026226618	</t>
  </si>
  <si>
    <t xml:space="preserve">131.895979367	</t>
  </si>
  <si>
    <t xml:space="preserve">43.026230464	</t>
  </si>
  <si>
    <t xml:space="preserve">131.895977010	</t>
  </si>
  <si>
    <t xml:space="preserve">43.026253664	</t>
  </si>
  <si>
    <t xml:space="preserve">131.895984829	</t>
  </si>
  <si>
    <t xml:space="preserve">43.026244566	</t>
  </si>
  <si>
    <t xml:space="preserve">131.895975986	</t>
  </si>
  <si>
    <t xml:space="preserve">43.026247787	</t>
  </si>
  <si>
    <t xml:space="preserve">131.895974219	</t>
  </si>
  <si>
    <t xml:space="preserve">43.026246498	</t>
  </si>
  <si>
    <t xml:space="preserve">131.895971399	</t>
  </si>
  <si>
    <t xml:space="preserve">43.026281001	</t>
  </si>
  <si>
    <t xml:space="preserve">131.895973355	</t>
  </si>
  <si>
    <t xml:space="preserve">43.026284760	</t>
  </si>
  <si>
    <t xml:space="preserve">131.895985969	</t>
  </si>
  <si>
    <t xml:space="preserve">43.026286672	</t>
  </si>
  <si>
    <t xml:space="preserve">131.895978407	</t>
  </si>
  <si>
    <t xml:space="preserve">43.026291140	</t>
  </si>
  <si>
    <t xml:space="preserve">131.895983937	</t>
  </si>
  <si>
    <t xml:space="preserve">43.026301252	</t>
  </si>
  <si>
    <t xml:space="preserve">131.895985783	</t>
  </si>
  <si>
    <t xml:space="preserve">43.026309818	</t>
  </si>
  <si>
    <t xml:space="preserve">131.895979024	</t>
  </si>
  <si>
    <t xml:space="preserve">43.026322986	</t>
  </si>
  <si>
    <t xml:space="preserve">131.895975379	</t>
  </si>
  <si>
    <t xml:space="preserve">43.026323965	</t>
  </si>
  <si>
    <t xml:space="preserve">131.895969855	</t>
  </si>
  <si>
    <t xml:space="preserve">43.026281388	</t>
  </si>
  <si>
    <t xml:space="preserve">131.895925357	</t>
  </si>
  <si>
    <t xml:space="preserve">43.026285409	</t>
  </si>
  <si>
    <t xml:space="preserve">131.895911898	</t>
  </si>
  <si>
    <t xml:space="preserve">43.026373905	</t>
  </si>
  <si>
    <t xml:space="preserve">131.895959040	</t>
  </si>
  <si>
    <t xml:space="preserve">43.026403443	</t>
  </si>
  <si>
    <t xml:space="preserve">131.895855526	</t>
  </si>
  <si>
    <t xml:space="preserve">43.026404710	</t>
  </si>
  <si>
    <t xml:space="preserve">131.895840993	</t>
  </si>
  <si>
    <t xml:space="preserve">43.026413115	</t>
  </si>
  <si>
    <t xml:space="preserve">131.895839734	</t>
  </si>
  <si>
    <t xml:space="preserve">43.026415188	</t>
  </si>
  <si>
    <t xml:space="preserve">131.895800162	</t>
  </si>
  <si>
    <t xml:space="preserve">43.026432797	</t>
  </si>
  <si>
    <t xml:space="preserve">131.895820544	</t>
  </si>
  <si>
    <t xml:space="preserve">43.026431885	</t>
  </si>
  <si>
    <t xml:space="preserve">131.895826269	</t>
  </si>
  <si>
    <t xml:space="preserve">43.026446199	</t>
  </si>
  <si>
    <t xml:space="preserve">131.895847197	</t>
  </si>
  <si>
    <t xml:space="preserve">43.026443759	</t>
  </si>
  <si>
    <t xml:space="preserve">131.895887633	</t>
  </si>
  <si>
    <t>36, 33</t>
  </si>
  <si>
    <t>36,27,25,39,28</t>
  </si>
  <si>
    <t>16,30,27</t>
  </si>
  <si>
    <t>26,38,45</t>
  </si>
  <si>
    <t>Salix schwerinii</t>
  </si>
  <si>
    <t>25,21,22,31,28</t>
  </si>
  <si>
    <t>24.1,27</t>
  </si>
  <si>
    <t>9,10,8,8,14,13</t>
  </si>
  <si>
    <t>16,7</t>
  </si>
  <si>
    <t>16.5,22.5,25.5</t>
  </si>
  <si>
    <t>32.7,31.5,32.5</t>
  </si>
  <si>
    <t>19.5</t>
  </si>
  <si>
    <t>29</t>
  </si>
  <si>
    <t>24,30.5</t>
  </si>
  <si>
    <t>38.5</t>
  </si>
  <si>
    <t>21.5</t>
  </si>
  <si>
    <t>32</t>
  </si>
  <si>
    <t>96</t>
  </si>
  <si>
    <t>17,15</t>
  </si>
  <si>
    <t>16,25,28,31,35</t>
  </si>
  <si>
    <t>16,24,15,21</t>
  </si>
  <si>
    <t>21,19</t>
  </si>
  <si>
    <t>13</t>
  </si>
  <si>
    <t>10</t>
  </si>
  <si>
    <t>Cerasus sargentii</t>
  </si>
  <si>
    <t>Acer tataricum</t>
  </si>
  <si>
    <t>8,12</t>
  </si>
  <si>
    <t>85</t>
  </si>
  <si>
    <t>11,11</t>
  </si>
  <si>
    <t>14,12,17</t>
  </si>
  <si>
    <t>18</t>
  </si>
  <si>
    <t>97</t>
  </si>
  <si>
    <t>90,64,79</t>
  </si>
  <si>
    <t>77,84,83,73</t>
  </si>
  <si>
    <t>17</t>
  </si>
  <si>
    <t>42</t>
  </si>
  <si>
    <t>40,23,17,36</t>
  </si>
  <si>
    <t>26,27,31</t>
  </si>
  <si>
    <t>130</t>
  </si>
  <si>
    <t>25,30,36,9</t>
  </si>
  <si>
    <t>46</t>
  </si>
  <si>
    <t>31</t>
  </si>
  <si>
    <t>19</t>
  </si>
  <si>
    <t>12</t>
  </si>
  <si>
    <t>13,13</t>
  </si>
  <si>
    <t>15</t>
  </si>
  <si>
    <t>22</t>
  </si>
  <si>
    <t>23</t>
  </si>
  <si>
    <t>118</t>
  </si>
  <si>
    <t>14</t>
  </si>
  <si>
    <t>8</t>
  </si>
  <si>
    <t>7.5</t>
  </si>
  <si>
    <t>15.5</t>
  </si>
  <si>
    <t>11,5</t>
  </si>
  <si>
    <t>Acer tegmentosum</t>
  </si>
  <si>
    <t>16</t>
  </si>
  <si>
    <t>26</t>
  </si>
  <si>
    <t>56</t>
  </si>
  <si>
    <t>11</t>
  </si>
  <si>
    <t>8,6,6</t>
  </si>
  <si>
    <t>14,9</t>
  </si>
  <si>
    <t>5</t>
  </si>
  <si>
    <t>8.5</t>
  </si>
  <si>
    <t>10.5</t>
  </si>
  <si>
    <t>104</t>
  </si>
  <si>
    <t>19,19</t>
  </si>
  <si>
    <t>15,23</t>
  </si>
  <si>
    <t>27</t>
  </si>
  <si>
    <t>30,24</t>
  </si>
  <si>
    <t>21</t>
  </si>
  <si>
    <t>38,22,25</t>
  </si>
  <si>
    <t>Carpinus cordata</t>
  </si>
  <si>
    <t>9</t>
  </si>
  <si>
    <t>18,19</t>
  </si>
  <si>
    <t>268</t>
  </si>
  <si>
    <t>90</t>
  </si>
  <si>
    <t>24</t>
  </si>
  <si>
    <t>11 Fraxinus chinensis 11 Aralia elata</t>
  </si>
  <si>
    <t>119, 24,19,20</t>
  </si>
  <si>
    <t>112,13,15,14</t>
  </si>
  <si>
    <t>136</t>
  </si>
  <si>
    <t>110</t>
  </si>
  <si>
    <t>107</t>
  </si>
  <si>
    <t>105</t>
  </si>
  <si>
    <t>13,8,8,8,9,13,5</t>
  </si>
  <si>
    <t>13,21</t>
  </si>
  <si>
    <t>23,21</t>
  </si>
  <si>
    <t>23,20</t>
  </si>
  <si>
    <t>29,41</t>
  </si>
  <si>
    <t>106</t>
  </si>
  <si>
    <t>33,30</t>
  </si>
  <si>
    <t>94</t>
  </si>
  <si>
    <t>25</t>
  </si>
  <si>
    <t>125</t>
  </si>
  <si>
    <t>93</t>
  </si>
  <si>
    <t>81</t>
  </si>
  <si>
    <t>20,50</t>
  </si>
  <si>
    <t>30</t>
  </si>
  <si>
    <t>113</t>
  </si>
  <si>
    <t>одно дерево 2 ствола</t>
  </si>
  <si>
    <t>20,26,29,23,16,29,25,24</t>
  </si>
  <si>
    <t>23,18,22,33,35</t>
  </si>
  <si>
    <t>46,46,38,34,13,23,34,34,40,41</t>
  </si>
  <si>
    <t>Acer pseudosieboldianum</t>
  </si>
  <si>
    <t>Salix gracilistyla</t>
  </si>
  <si>
    <t>37</t>
  </si>
  <si>
    <t>20</t>
  </si>
  <si>
    <t>36,23,24,14</t>
  </si>
  <si>
    <t>33</t>
  </si>
  <si>
    <t>27,25,17</t>
  </si>
  <si>
    <t>44</t>
  </si>
  <si>
    <t>40,9,12,15</t>
  </si>
  <si>
    <t>26,8</t>
  </si>
  <si>
    <t>37,46</t>
  </si>
  <si>
    <t>40,41</t>
  </si>
  <si>
    <t>28,16,29,18,15</t>
  </si>
  <si>
    <t>44,33,53,30</t>
  </si>
  <si>
    <t>27,29,23</t>
  </si>
  <si>
    <t>Salix nipponica</t>
  </si>
  <si>
    <t>13,15.5,19</t>
  </si>
  <si>
    <t>23,40.5</t>
  </si>
  <si>
    <t>27,18,32,16</t>
  </si>
  <si>
    <t>30,29,20.5,33,17</t>
  </si>
  <si>
    <t>55.5</t>
  </si>
  <si>
    <t>46.5</t>
  </si>
  <si>
    <t>48,21,22</t>
  </si>
  <si>
    <t>16,14</t>
  </si>
  <si>
    <t>17.5,21,15</t>
  </si>
  <si>
    <t>52,22,38</t>
  </si>
  <si>
    <t>36.5,32,30,29,57,50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</si>
</sst>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5"/>
      <color rgb="FF2F2F2F"/>
      <name val="Arial"/>
      <family val="2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19" fillId="0" borderId="0" xfId="0" applyFon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3"/>
  <sheetViews>
    <sheetView tabSelected="1" topLeftCell="A265" zoomScale="115" zoomScaleNormal="115" workbookViewId="0">
      <selection activeCell="J335" sqref="J335"/>
    </sheetView>
  </sheetViews>
  <sheetFormatPr defaultRowHeight="15" x14ac:dyDescent="0.25"/>
  <cols>
    <col min="2" max="4" width="16" customWidth="1"/>
    <col min="5" max="5" width="19" style="2" customWidth="1"/>
    <col min="6" max="6" width="11.5703125" style="1" customWidth="1"/>
    <col min="7" max="7" width="19.28515625" customWidth="1"/>
    <col min="10" max="10" width="19.5703125" customWidth="1"/>
  </cols>
  <sheetData>
    <row r="1" spans="1:12" x14ac:dyDescent="0.25">
      <c r="A1" t="s">
        <v>382</v>
      </c>
      <c r="B1" t="s">
        <v>383</v>
      </c>
      <c r="C1" t="s">
        <v>384</v>
      </c>
      <c r="D1" t="s">
        <v>385</v>
      </c>
      <c r="E1" s="2" t="s">
        <v>390</v>
      </c>
      <c r="F1" s="1" t="s">
        <v>386</v>
      </c>
      <c r="G1" t="s">
        <v>387</v>
      </c>
      <c r="H1" t="s">
        <v>388</v>
      </c>
    </row>
    <row r="2" spans="1:12" x14ac:dyDescent="0.25">
      <c r="A2">
        <v>1</v>
      </c>
      <c r="B2" t="s">
        <v>0</v>
      </c>
      <c r="C2" t="s">
        <v>1</v>
      </c>
      <c r="D2">
        <v>44.85</v>
      </c>
      <c r="E2" s="2">
        <v>70</v>
      </c>
      <c r="F2" s="1">
        <v>1</v>
      </c>
      <c r="G2" t="s">
        <v>389</v>
      </c>
      <c r="I2">
        <v>1</v>
      </c>
      <c r="J2" t="s">
        <v>389</v>
      </c>
      <c r="K2">
        <f>COUNTIF(G:G, "Tilia mandshurica")</f>
        <v>1</v>
      </c>
    </row>
    <row r="3" spans="1:12" x14ac:dyDescent="0.25">
      <c r="A3">
        <v>2</v>
      </c>
      <c r="B3" t="s">
        <v>2</v>
      </c>
      <c r="C3" t="s">
        <v>3</v>
      </c>
      <c r="D3">
        <v>44.177</v>
      </c>
      <c r="E3" s="2">
        <v>15</v>
      </c>
      <c r="F3" s="1">
        <v>3</v>
      </c>
      <c r="G3" t="s">
        <v>391</v>
      </c>
      <c r="I3">
        <v>2</v>
      </c>
      <c r="J3" t="s">
        <v>396</v>
      </c>
      <c r="K3">
        <f>COUNTIF(G:G, "Tilia amurensis")</f>
        <v>33</v>
      </c>
    </row>
    <row r="4" spans="1:12" x14ac:dyDescent="0.25">
      <c r="A4">
        <v>3</v>
      </c>
      <c r="B4" t="s">
        <v>4</v>
      </c>
      <c r="C4" t="s">
        <v>5</v>
      </c>
      <c r="D4">
        <v>43.720999999999997</v>
      </c>
      <c r="E4" s="2">
        <v>92</v>
      </c>
      <c r="F4" s="1">
        <v>4</v>
      </c>
      <c r="G4" t="s">
        <v>392</v>
      </c>
      <c r="I4">
        <v>3</v>
      </c>
      <c r="J4" t="s">
        <v>391</v>
      </c>
      <c r="K4">
        <f>COUNTIF(G:G, "Fraxinus chinensis")</f>
        <v>28</v>
      </c>
    </row>
    <row r="5" spans="1:12" x14ac:dyDescent="0.25">
      <c r="A5">
        <v>4</v>
      </c>
      <c r="B5" t="s">
        <v>6</v>
      </c>
      <c r="C5" t="s">
        <v>7</v>
      </c>
      <c r="D5">
        <v>43.442</v>
      </c>
      <c r="E5" s="2">
        <v>36</v>
      </c>
      <c r="F5" s="1">
        <v>8</v>
      </c>
      <c r="G5" t="s">
        <v>393</v>
      </c>
      <c r="I5">
        <v>4</v>
      </c>
      <c r="J5" t="s">
        <v>392</v>
      </c>
      <c r="K5">
        <f>COUNTIF(G:G, "Fraxinus mandshurica")</f>
        <v>13</v>
      </c>
    </row>
    <row r="6" spans="1:12" x14ac:dyDescent="0.25">
      <c r="A6">
        <v>5</v>
      </c>
      <c r="B6" t="s">
        <v>8</v>
      </c>
      <c r="C6" t="s">
        <v>9</v>
      </c>
      <c r="D6">
        <v>43.252000000000002</v>
      </c>
      <c r="E6" s="2" t="s">
        <v>394</v>
      </c>
      <c r="F6" s="1">
        <v>11</v>
      </c>
      <c r="G6" t="s">
        <v>395</v>
      </c>
      <c r="I6">
        <v>5</v>
      </c>
      <c r="J6" t="s">
        <v>404</v>
      </c>
      <c r="K6">
        <f>COUNTIF(G:G, "Alnus hirsuta")</f>
        <v>48</v>
      </c>
    </row>
    <row r="7" spans="1:12" x14ac:dyDescent="0.25">
      <c r="A7">
        <v>6</v>
      </c>
      <c r="B7" t="s">
        <v>10</v>
      </c>
      <c r="C7" t="s">
        <v>11</v>
      </c>
      <c r="D7">
        <v>43.326000000000001</v>
      </c>
      <c r="E7" s="2">
        <v>72</v>
      </c>
      <c r="F7" s="1">
        <v>2</v>
      </c>
      <c r="G7" t="s">
        <v>396</v>
      </c>
      <c r="I7">
        <v>6</v>
      </c>
      <c r="J7" t="s">
        <v>430</v>
      </c>
      <c r="K7">
        <f>COUNTIF(G:G, "Alnus japonica")</f>
        <v>6</v>
      </c>
    </row>
    <row r="8" spans="1:12" x14ac:dyDescent="0.25">
      <c r="A8">
        <v>7</v>
      </c>
      <c r="B8" t="s">
        <v>12</v>
      </c>
      <c r="C8" t="s">
        <v>13</v>
      </c>
      <c r="D8">
        <v>43.780999999999999</v>
      </c>
      <c r="E8" s="2">
        <v>72.5</v>
      </c>
      <c r="F8" s="1">
        <v>3</v>
      </c>
      <c r="G8" t="s">
        <v>391</v>
      </c>
      <c r="I8">
        <v>7</v>
      </c>
      <c r="J8" t="s">
        <v>397</v>
      </c>
      <c r="K8">
        <f>COUNTIF(G:G, "Betula platyphyla")</f>
        <v>44</v>
      </c>
      <c r="L8" t="s">
        <v>454</v>
      </c>
    </row>
    <row r="9" spans="1:12" x14ac:dyDescent="0.25">
      <c r="A9">
        <v>8</v>
      </c>
      <c r="B9" t="s">
        <v>14</v>
      </c>
      <c r="C9" t="s">
        <v>15</v>
      </c>
      <c r="D9">
        <v>43.454000000000001</v>
      </c>
      <c r="E9" s="2">
        <v>91</v>
      </c>
      <c r="F9" s="1">
        <v>7</v>
      </c>
      <c r="G9" t="s">
        <v>397</v>
      </c>
      <c r="I9">
        <v>8</v>
      </c>
      <c r="J9" t="s">
        <v>393</v>
      </c>
      <c r="K9">
        <f>COUNTIF(G:G, "Betula davurica")</f>
        <v>25</v>
      </c>
      <c r="L9" t="s">
        <v>454</v>
      </c>
    </row>
    <row r="10" spans="1:12" x14ac:dyDescent="0.25">
      <c r="A10">
        <v>9</v>
      </c>
      <c r="B10" t="s">
        <v>16</v>
      </c>
      <c r="C10" t="s">
        <v>17</v>
      </c>
      <c r="D10">
        <v>43.68</v>
      </c>
      <c r="E10" s="2">
        <v>89</v>
      </c>
      <c r="F10" s="1">
        <v>8</v>
      </c>
      <c r="G10" t="s">
        <v>393</v>
      </c>
      <c r="I10">
        <v>9</v>
      </c>
      <c r="J10" t="s">
        <v>402</v>
      </c>
      <c r="K10">
        <f>COUNTIF(G:G, "Quercus mongolica")</f>
        <v>63</v>
      </c>
    </row>
    <row r="11" spans="1:12" x14ac:dyDescent="0.25">
      <c r="A11">
        <v>10</v>
      </c>
      <c r="B11" t="s">
        <v>18</v>
      </c>
      <c r="C11" t="s">
        <v>19</v>
      </c>
      <c r="D11">
        <v>43.171999999999997</v>
      </c>
      <c r="E11" s="2" t="s">
        <v>398</v>
      </c>
      <c r="F11" s="1">
        <v>7</v>
      </c>
      <c r="G11" t="s">
        <v>397</v>
      </c>
      <c r="I11">
        <v>10</v>
      </c>
      <c r="J11" t="s">
        <v>429</v>
      </c>
      <c r="K11">
        <f>COUNTIF(G:G, "Maackia amurensis")</f>
        <v>5</v>
      </c>
    </row>
    <row r="12" spans="1:12" x14ac:dyDescent="0.25">
      <c r="A12">
        <v>11</v>
      </c>
      <c r="B12" t="s">
        <v>20</v>
      </c>
      <c r="C12" t="s">
        <v>21</v>
      </c>
      <c r="D12">
        <v>43.286999999999999</v>
      </c>
      <c r="E12" s="2" t="s">
        <v>399</v>
      </c>
      <c r="F12" s="1">
        <v>7</v>
      </c>
      <c r="G12" t="s">
        <v>397</v>
      </c>
      <c r="I12">
        <v>11</v>
      </c>
      <c r="J12" t="s">
        <v>395</v>
      </c>
      <c r="K12">
        <f>COUNTIF(G:G, "Juglans mandshurica")</f>
        <v>19</v>
      </c>
      <c r="L12" t="s">
        <v>454</v>
      </c>
    </row>
    <row r="13" spans="1:12" x14ac:dyDescent="0.25">
      <c r="A13">
        <v>12</v>
      </c>
      <c r="B13" t="s">
        <v>22</v>
      </c>
      <c r="C13" t="s">
        <v>23</v>
      </c>
      <c r="D13">
        <v>43.375999999999998</v>
      </c>
      <c r="E13" s="2" t="s">
        <v>400</v>
      </c>
      <c r="F13" s="1">
        <v>7</v>
      </c>
      <c r="G13" t="s">
        <v>397</v>
      </c>
      <c r="I13">
        <v>12</v>
      </c>
      <c r="J13" t="s">
        <v>406</v>
      </c>
      <c r="K13">
        <f>COUNTIF(G:G, "Acer mono")</f>
        <v>1</v>
      </c>
    </row>
    <row r="14" spans="1:12" x14ac:dyDescent="0.25">
      <c r="A14">
        <v>13</v>
      </c>
      <c r="B14" t="s">
        <v>24</v>
      </c>
      <c r="C14" t="s">
        <v>25</v>
      </c>
      <c r="D14">
        <v>42.927</v>
      </c>
      <c r="E14" s="2" t="s">
        <v>401</v>
      </c>
      <c r="F14" s="1">
        <v>9</v>
      </c>
      <c r="G14" t="s">
        <v>402</v>
      </c>
      <c r="I14">
        <v>13</v>
      </c>
      <c r="J14" t="s">
        <v>411</v>
      </c>
      <c r="K14">
        <f>COUNTIF(G:G, "Kalopanax septemlobus")</f>
        <v>11</v>
      </c>
    </row>
    <row r="15" spans="1:12" x14ac:dyDescent="0.25">
      <c r="A15">
        <v>14</v>
      </c>
      <c r="B15" t="s">
        <v>26</v>
      </c>
      <c r="C15" t="s">
        <v>27</v>
      </c>
      <c r="D15">
        <v>42.148000000000003</v>
      </c>
      <c r="E15" s="2" t="s">
        <v>403</v>
      </c>
      <c r="F15" s="1">
        <v>9</v>
      </c>
      <c r="G15" t="s">
        <v>402</v>
      </c>
      <c r="I15">
        <v>14</v>
      </c>
      <c r="J15" t="s">
        <v>421</v>
      </c>
      <c r="K15">
        <f>COUNTIF(G:G, "Cerasus maximowiczii")</f>
        <v>1</v>
      </c>
    </row>
    <row r="16" spans="1:12" x14ac:dyDescent="0.25">
      <c r="A16">
        <v>15</v>
      </c>
      <c r="B16" t="s">
        <v>28</v>
      </c>
      <c r="C16" t="s">
        <v>29</v>
      </c>
      <c r="D16">
        <v>41.957999999999998</v>
      </c>
      <c r="E16" s="2">
        <v>40</v>
      </c>
      <c r="F16" s="1">
        <v>5</v>
      </c>
      <c r="G16" t="s">
        <v>404</v>
      </c>
      <c r="I16">
        <v>15</v>
      </c>
      <c r="J16" t="s">
        <v>422</v>
      </c>
      <c r="K16">
        <f>COUNTIF(G:G, "Salix caprea")</f>
        <v>23</v>
      </c>
    </row>
    <row r="17" spans="1:12" x14ac:dyDescent="0.25">
      <c r="A17">
        <v>16</v>
      </c>
      <c r="B17" t="s">
        <v>30</v>
      </c>
      <c r="C17" t="s">
        <v>31</v>
      </c>
      <c r="D17">
        <v>41.555</v>
      </c>
      <c r="E17" s="2">
        <v>138</v>
      </c>
      <c r="F17" s="1">
        <v>9</v>
      </c>
      <c r="G17" t="s">
        <v>402</v>
      </c>
      <c r="I17">
        <v>16</v>
      </c>
      <c r="J17" t="s">
        <v>437</v>
      </c>
      <c r="K17">
        <f>COUNTIF(G:G, "Aralia elata")</f>
        <v>19</v>
      </c>
    </row>
    <row r="18" spans="1:12" x14ac:dyDescent="0.25">
      <c r="A18">
        <v>17</v>
      </c>
      <c r="B18" t="s">
        <v>32</v>
      </c>
      <c r="C18" t="s">
        <v>33</v>
      </c>
      <c r="D18">
        <v>41.173999999999999</v>
      </c>
      <c r="E18" s="2">
        <v>35</v>
      </c>
      <c r="F18" s="1">
        <v>5</v>
      </c>
      <c r="G18" t="s">
        <v>404</v>
      </c>
      <c r="I18">
        <v>17</v>
      </c>
      <c r="J18" t="s">
        <v>431</v>
      </c>
      <c r="K18">
        <f>COUNTIF(G:G, "Phellodendron amurensis")</f>
        <v>4</v>
      </c>
      <c r="L18" t="s">
        <v>454</v>
      </c>
    </row>
    <row r="19" spans="1:12" x14ac:dyDescent="0.25">
      <c r="A19">
        <v>18</v>
      </c>
      <c r="B19" t="s">
        <v>34</v>
      </c>
      <c r="C19" t="s">
        <v>35</v>
      </c>
      <c r="D19">
        <v>41.131999999999998</v>
      </c>
      <c r="E19" s="2">
        <v>103</v>
      </c>
      <c r="F19" s="1">
        <v>9</v>
      </c>
      <c r="G19" t="s">
        <v>402</v>
      </c>
      <c r="I19">
        <v>18</v>
      </c>
      <c r="J19" t="s">
        <v>863</v>
      </c>
    </row>
    <row r="20" spans="1:12" x14ac:dyDescent="0.25">
      <c r="A20">
        <v>19</v>
      </c>
      <c r="B20" t="s">
        <v>36</v>
      </c>
      <c r="C20" t="s">
        <v>37</v>
      </c>
      <c r="D20">
        <v>41.323999999999998</v>
      </c>
      <c r="E20" s="2">
        <v>83</v>
      </c>
      <c r="F20" s="1">
        <v>9</v>
      </c>
      <c r="G20" t="s">
        <v>402</v>
      </c>
      <c r="I20">
        <v>19</v>
      </c>
      <c r="J20" t="s">
        <v>883</v>
      </c>
    </row>
    <row r="21" spans="1:12" x14ac:dyDescent="0.25">
      <c r="A21">
        <v>20</v>
      </c>
      <c r="B21" t="s">
        <v>38</v>
      </c>
      <c r="C21" t="s">
        <v>39</v>
      </c>
      <c r="D21">
        <v>40.945</v>
      </c>
      <c r="E21" s="2">
        <v>138</v>
      </c>
      <c r="F21" s="1">
        <v>2</v>
      </c>
      <c r="G21" t="s">
        <v>396</v>
      </c>
      <c r="I21">
        <v>20</v>
      </c>
      <c r="J21" t="s">
        <v>884</v>
      </c>
    </row>
    <row r="22" spans="1:12" x14ac:dyDescent="0.25">
      <c r="A22">
        <v>21</v>
      </c>
      <c r="B22" t="s">
        <v>40</v>
      </c>
      <c r="C22" t="s">
        <v>41</v>
      </c>
      <c r="D22">
        <v>40.363</v>
      </c>
      <c r="E22" s="2">
        <v>91</v>
      </c>
      <c r="F22" s="1">
        <v>12</v>
      </c>
      <c r="G22" t="s">
        <v>406</v>
      </c>
      <c r="I22">
        <v>21</v>
      </c>
      <c r="J22" t="s">
        <v>913</v>
      </c>
    </row>
    <row r="23" spans="1:12" x14ac:dyDescent="0.25">
      <c r="A23">
        <v>22</v>
      </c>
      <c r="B23" t="s">
        <v>42</v>
      </c>
      <c r="C23" t="s">
        <v>43</v>
      </c>
      <c r="D23">
        <v>41.97</v>
      </c>
      <c r="E23" s="2">
        <v>167</v>
      </c>
      <c r="F23" s="1">
        <v>8</v>
      </c>
      <c r="G23" t="s">
        <v>393</v>
      </c>
      <c r="I23">
        <v>22</v>
      </c>
      <c r="J23" t="s">
        <v>930</v>
      </c>
    </row>
    <row r="24" spans="1:12" x14ac:dyDescent="0.25">
      <c r="A24">
        <v>23</v>
      </c>
      <c r="B24" t="s">
        <v>44</v>
      </c>
      <c r="C24" t="s">
        <v>45</v>
      </c>
      <c r="D24">
        <v>42.689</v>
      </c>
      <c r="E24" s="2">
        <v>149</v>
      </c>
      <c r="F24" s="1">
        <v>9</v>
      </c>
      <c r="G24" t="s">
        <v>402</v>
      </c>
      <c r="I24">
        <v>23</v>
      </c>
      <c r="J24" t="s">
        <v>962</v>
      </c>
    </row>
    <row r="25" spans="1:12" x14ac:dyDescent="0.25">
      <c r="A25">
        <v>24</v>
      </c>
      <c r="B25" t="s">
        <v>46</v>
      </c>
      <c r="C25" t="s">
        <v>47</v>
      </c>
      <c r="D25">
        <v>42.500999999999998</v>
      </c>
      <c r="E25" s="2">
        <v>126</v>
      </c>
      <c r="F25" s="1">
        <v>9</v>
      </c>
      <c r="G25" t="s">
        <v>402</v>
      </c>
      <c r="I25">
        <v>24</v>
      </c>
      <c r="J25" t="s">
        <v>963</v>
      </c>
    </row>
    <row r="26" spans="1:12" x14ac:dyDescent="0.25">
      <c r="A26">
        <v>25</v>
      </c>
      <c r="B26" t="s">
        <v>48</v>
      </c>
      <c r="C26" t="s">
        <v>49</v>
      </c>
      <c r="D26">
        <v>43.073</v>
      </c>
      <c r="E26" s="2">
        <v>100</v>
      </c>
      <c r="F26" s="1">
        <v>9</v>
      </c>
      <c r="G26" t="s">
        <v>402</v>
      </c>
      <c r="I26">
        <v>25</v>
      </c>
      <c r="J26" t="s">
        <v>977</v>
      </c>
    </row>
    <row r="27" spans="1:12" x14ac:dyDescent="0.25">
      <c r="A27">
        <v>26</v>
      </c>
      <c r="B27" t="s">
        <v>50</v>
      </c>
      <c r="C27" t="s">
        <v>51</v>
      </c>
      <c r="D27">
        <v>43.112000000000002</v>
      </c>
      <c r="E27" s="2" t="s">
        <v>405</v>
      </c>
      <c r="F27" s="1">
        <v>2</v>
      </c>
      <c r="G27" t="s">
        <v>396</v>
      </c>
    </row>
    <row r="28" spans="1:12" x14ac:dyDescent="0.25">
      <c r="A28">
        <v>27</v>
      </c>
      <c r="B28" t="s">
        <v>52</v>
      </c>
      <c r="C28" t="s">
        <v>53</v>
      </c>
      <c r="D28">
        <v>43.734999999999999</v>
      </c>
      <c r="E28" s="2">
        <v>70</v>
      </c>
      <c r="F28" s="1">
        <v>3</v>
      </c>
      <c r="G28" t="s">
        <v>391</v>
      </c>
    </row>
    <row r="29" spans="1:12" x14ac:dyDescent="0.25">
      <c r="A29">
        <v>28</v>
      </c>
      <c r="B29" t="s">
        <v>54</v>
      </c>
      <c r="C29" t="s">
        <v>55</v>
      </c>
      <c r="D29">
        <v>44.008000000000003</v>
      </c>
      <c r="E29" s="2">
        <v>118</v>
      </c>
      <c r="F29" s="1">
        <v>8</v>
      </c>
      <c r="G29" t="s">
        <v>393</v>
      </c>
    </row>
    <row r="30" spans="1:12" x14ac:dyDescent="0.25">
      <c r="A30">
        <v>29</v>
      </c>
      <c r="B30" t="s">
        <v>56</v>
      </c>
      <c r="C30" t="s">
        <v>57</v>
      </c>
      <c r="D30">
        <v>44.140999999999998</v>
      </c>
      <c r="E30" s="2">
        <v>95</v>
      </c>
      <c r="F30" s="1">
        <v>9</v>
      </c>
      <c r="G30" t="s">
        <v>402</v>
      </c>
    </row>
    <row r="31" spans="1:12" x14ac:dyDescent="0.25">
      <c r="A31">
        <v>30</v>
      </c>
      <c r="B31" t="s">
        <v>58</v>
      </c>
      <c r="C31" t="s">
        <v>59</v>
      </c>
      <c r="D31">
        <v>44.21</v>
      </c>
      <c r="E31" s="2">
        <v>105</v>
      </c>
      <c r="F31" s="1">
        <v>9</v>
      </c>
      <c r="G31" t="s">
        <v>402</v>
      </c>
    </row>
    <row r="32" spans="1:12" x14ac:dyDescent="0.25">
      <c r="A32">
        <v>31</v>
      </c>
      <c r="B32" t="s">
        <v>60</v>
      </c>
      <c r="C32" t="s">
        <v>61</v>
      </c>
      <c r="D32">
        <v>44.155000000000001</v>
      </c>
      <c r="E32" s="2">
        <v>111</v>
      </c>
      <c r="F32" s="1">
        <v>9</v>
      </c>
      <c r="G32" t="s">
        <v>402</v>
      </c>
    </row>
    <row r="33" spans="1:8" x14ac:dyDescent="0.25">
      <c r="A33">
        <v>32</v>
      </c>
      <c r="B33" t="s">
        <v>62</v>
      </c>
      <c r="C33" t="s">
        <v>63</v>
      </c>
      <c r="D33">
        <v>43.427</v>
      </c>
      <c r="E33" s="2">
        <v>30</v>
      </c>
      <c r="F33" s="1">
        <v>5</v>
      </c>
      <c r="G33" t="s">
        <v>404</v>
      </c>
    </row>
    <row r="34" spans="1:8" x14ac:dyDescent="0.25">
      <c r="A34">
        <v>33</v>
      </c>
      <c r="B34" t="s">
        <v>64</v>
      </c>
      <c r="C34" t="s">
        <v>65</v>
      </c>
      <c r="D34">
        <v>44.387999999999998</v>
      </c>
      <c r="E34" s="2">
        <v>118</v>
      </c>
      <c r="F34" s="1">
        <v>9</v>
      </c>
      <c r="G34" t="s">
        <v>402</v>
      </c>
    </row>
    <row r="35" spans="1:8" x14ac:dyDescent="0.25">
      <c r="A35">
        <v>34</v>
      </c>
      <c r="B35" t="s">
        <v>66</v>
      </c>
      <c r="C35" t="s">
        <v>67</v>
      </c>
      <c r="D35">
        <v>44.404000000000003</v>
      </c>
      <c r="E35" s="2">
        <v>20</v>
      </c>
      <c r="F35" s="1">
        <v>5</v>
      </c>
      <c r="G35" t="s">
        <v>404</v>
      </c>
    </row>
    <row r="36" spans="1:8" x14ac:dyDescent="0.25">
      <c r="A36">
        <v>35</v>
      </c>
      <c r="B36" t="s">
        <v>68</v>
      </c>
      <c r="C36" t="s">
        <v>69</v>
      </c>
      <c r="D36">
        <v>44.539000000000001</v>
      </c>
      <c r="E36" s="2">
        <v>133</v>
      </c>
      <c r="F36" s="1">
        <v>9</v>
      </c>
      <c r="G36" t="s">
        <v>402</v>
      </c>
    </row>
    <row r="37" spans="1:8" x14ac:dyDescent="0.25">
      <c r="A37">
        <v>36</v>
      </c>
      <c r="B37" t="s">
        <v>70</v>
      </c>
      <c r="C37" t="s">
        <v>71</v>
      </c>
      <c r="D37">
        <v>44.817999999999998</v>
      </c>
      <c r="E37" s="2">
        <v>210</v>
      </c>
      <c r="F37" s="1">
        <v>13</v>
      </c>
      <c r="G37" t="s">
        <v>411</v>
      </c>
      <c r="H37" t="s">
        <v>412</v>
      </c>
    </row>
    <row r="38" spans="1:8" x14ac:dyDescent="0.25">
      <c r="A38">
        <v>37</v>
      </c>
      <c r="B38" t="s">
        <v>72</v>
      </c>
      <c r="C38" t="s">
        <v>73</v>
      </c>
      <c r="D38">
        <v>44.844999999999999</v>
      </c>
      <c r="E38" s="2" t="s">
        <v>407</v>
      </c>
      <c r="F38" s="1">
        <v>9</v>
      </c>
      <c r="G38" t="s">
        <v>402</v>
      </c>
    </row>
    <row r="39" spans="1:8" x14ac:dyDescent="0.25">
      <c r="A39">
        <v>38</v>
      </c>
      <c r="B39" t="s">
        <v>74</v>
      </c>
      <c r="C39" t="s">
        <v>75</v>
      </c>
      <c r="D39">
        <v>44.953000000000003</v>
      </c>
      <c r="E39" s="2" t="s">
        <v>408</v>
      </c>
      <c r="F39" s="1">
        <v>9</v>
      </c>
      <c r="G39" t="s">
        <v>402</v>
      </c>
    </row>
    <row r="40" spans="1:8" x14ac:dyDescent="0.25">
      <c r="A40">
        <v>39</v>
      </c>
      <c r="B40" t="s">
        <v>76</v>
      </c>
      <c r="C40" t="s">
        <v>77</v>
      </c>
      <c r="D40">
        <v>45.781999999999996</v>
      </c>
      <c r="E40" s="2" t="s">
        <v>409</v>
      </c>
      <c r="F40" s="1">
        <v>9</v>
      </c>
      <c r="G40" t="s">
        <v>402</v>
      </c>
    </row>
    <row r="41" spans="1:8" x14ac:dyDescent="0.25">
      <c r="A41">
        <v>40</v>
      </c>
      <c r="B41" t="s">
        <v>78</v>
      </c>
      <c r="C41" t="s">
        <v>79</v>
      </c>
      <c r="D41">
        <v>45.887</v>
      </c>
      <c r="E41" s="2">
        <v>106</v>
      </c>
      <c r="F41" s="1">
        <v>9</v>
      </c>
      <c r="G41" t="s">
        <v>402</v>
      </c>
    </row>
    <row r="42" spans="1:8" x14ac:dyDescent="0.25">
      <c r="A42">
        <v>41</v>
      </c>
      <c r="B42" t="s">
        <v>80</v>
      </c>
      <c r="C42" t="s">
        <v>81</v>
      </c>
      <c r="D42">
        <v>45.926000000000002</v>
      </c>
      <c r="E42" s="2">
        <v>96</v>
      </c>
      <c r="F42" s="1">
        <v>9</v>
      </c>
      <c r="G42" t="s">
        <v>402</v>
      </c>
    </row>
    <row r="43" spans="1:8" x14ac:dyDescent="0.25">
      <c r="A43">
        <v>42</v>
      </c>
      <c r="B43" t="s">
        <v>82</v>
      </c>
      <c r="C43" t="s">
        <v>83</v>
      </c>
      <c r="D43">
        <v>46.710999999999999</v>
      </c>
      <c r="E43" s="2">
        <v>124</v>
      </c>
      <c r="F43" s="1">
        <v>2</v>
      </c>
      <c r="G43" t="s">
        <v>396</v>
      </c>
    </row>
    <row r="44" spans="1:8" x14ac:dyDescent="0.25">
      <c r="A44">
        <v>43</v>
      </c>
      <c r="B44" t="s">
        <v>84</v>
      </c>
      <c r="C44" t="s">
        <v>85</v>
      </c>
      <c r="D44">
        <v>45.558999999999997</v>
      </c>
      <c r="E44" s="2">
        <v>84</v>
      </c>
      <c r="F44" s="1">
        <v>9</v>
      </c>
      <c r="G44" t="s">
        <v>402</v>
      </c>
    </row>
    <row r="45" spans="1:8" x14ac:dyDescent="0.25">
      <c r="A45">
        <v>44</v>
      </c>
      <c r="B45" t="s">
        <v>86</v>
      </c>
      <c r="C45" t="s">
        <v>87</v>
      </c>
      <c r="D45">
        <v>45.966000000000001</v>
      </c>
      <c r="E45" s="2">
        <v>35</v>
      </c>
      <c r="F45" s="1">
        <v>7</v>
      </c>
      <c r="G45" t="s">
        <v>397</v>
      </c>
    </row>
    <row r="46" spans="1:8" x14ac:dyDescent="0.25">
      <c r="A46">
        <v>45</v>
      </c>
      <c r="B46" t="s">
        <v>88</v>
      </c>
      <c r="C46" t="s">
        <v>89</v>
      </c>
      <c r="D46">
        <v>45.972999999999999</v>
      </c>
      <c r="E46" s="2">
        <v>100</v>
      </c>
      <c r="F46" s="1">
        <v>7</v>
      </c>
      <c r="G46" t="s">
        <v>397</v>
      </c>
    </row>
    <row r="47" spans="1:8" x14ac:dyDescent="0.25">
      <c r="A47">
        <v>46</v>
      </c>
      <c r="B47" t="s">
        <v>90</v>
      </c>
      <c r="C47" t="s">
        <v>91</v>
      </c>
      <c r="D47">
        <v>46.039000000000001</v>
      </c>
      <c r="E47" s="2">
        <v>19</v>
      </c>
      <c r="F47" s="1">
        <v>7</v>
      </c>
      <c r="G47" t="s">
        <v>397</v>
      </c>
    </row>
    <row r="48" spans="1:8" x14ac:dyDescent="0.25">
      <c r="A48">
        <v>47</v>
      </c>
      <c r="B48" t="s">
        <v>92</v>
      </c>
      <c r="C48" t="s">
        <v>93</v>
      </c>
      <c r="D48">
        <v>46.017000000000003</v>
      </c>
      <c r="E48" s="2" t="s">
        <v>410</v>
      </c>
      <c r="F48" s="1">
        <v>7</v>
      </c>
      <c r="G48" t="s">
        <v>397</v>
      </c>
    </row>
    <row r="49" spans="1:7" x14ac:dyDescent="0.25">
      <c r="A49">
        <v>48</v>
      </c>
      <c r="B49" t="s">
        <v>94</v>
      </c>
      <c r="C49" t="s">
        <v>95</v>
      </c>
      <c r="D49">
        <v>45.691000000000003</v>
      </c>
      <c r="E49" s="2">
        <v>94</v>
      </c>
      <c r="F49" s="1">
        <v>3</v>
      </c>
      <c r="G49" t="s">
        <v>391</v>
      </c>
    </row>
    <row r="50" spans="1:7" x14ac:dyDescent="0.25">
      <c r="A50">
        <v>49</v>
      </c>
      <c r="B50" t="s">
        <v>96</v>
      </c>
      <c r="C50" t="s">
        <v>97</v>
      </c>
      <c r="D50">
        <v>45.761000000000003</v>
      </c>
      <c r="E50" s="2">
        <v>87</v>
      </c>
      <c r="F50" s="1">
        <v>2</v>
      </c>
      <c r="G50" t="s">
        <v>396</v>
      </c>
    </row>
    <row r="51" spans="1:7" x14ac:dyDescent="0.25">
      <c r="A51">
        <v>50</v>
      </c>
      <c r="B51" t="s">
        <v>98</v>
      </c>
      <c r="C51" t="s">
        <v>99</v>
      </c>
      <c r="D51">
        <v>44.832000000000001</v>
      </c>
      <c r="E51" s="2">
        <v>97</v>
      </c>
      <c r="F51" s="1">
        <v>9</v>
      </c>
      <c r="G51" t="s">
        <v>402</v>
      </c>
    </row>
    <row r="52" spans="1:7" x14ac:dyDescent="0.25">
      <c r="A52">
        <v>51</v>
      </c>
      <c r="B52" t="s">
        <v>100</v>
      </c>
      <c r="C52" t="s">
        <v>101</v>
      </c>
      <c r="D52">
        <v>44.777000000000001</v>
      </c>
      <c r="E52" s="2">
        <v>16</v>
      </c>
      <c r="F52" s="1">
        <v>9</v>
      </c>
      <c r="G52" t="s">
        <v>402</v>
      </c>
    </row>
    <row r="53" spans="1:7" x14ac:dyDescent="0.25">
      <c r="A53">
        <v>52</v>
      </c>
      <c r="B53" t="s">
        <v>102</v>
      </c>
      <c r="C53" t="s">
        <v>103</v>
      </c>
      <c r="D53">
        <v>44.886000000000003</v>
      </c>
      <c r="E53" s="2">
        <v>15</v>
      </c>
      <c r="F53" s="1">
        <v>3</v>
      </c>
      <c r="G53" t="s">
        <v>391</v>
      </c>
    </row>
    <row r="54" spans="1:7" x14ac:dyDescent="0.25">
      <c r="A54">
        <v>53</v>
      </c>
      <c r="B54" t="s">
        <v>104</v>
      </c>
      <c r="C54" t="s">
        <v>105</v>
      </c>
      <c r="D54">
        <v>46.18</v>
      </c>
      <c r="E54" s="2">
        <v>103</v>
      </c>
      <c r="F54" s="1">
        <v>3</v>
      </c>
      <c r="G54" t="s">
        <v>391</v>
      </c>
    </row>
    <row r="55" spans="1:7" x14ac:dyDescent="0.25">
      <c r="A55">
        <v>54</v>
      </c>
      <c r="B55" t="s">
        <v>106</v>
      </c>
      <c r="C55" t="s">
        <v>107</v>
      </c>
      <c r="D55">
        <v>46.185000000000002</v>
      </c>
      <c r="E55" s="2">
        <v>116</v>
      </c>
      <c r="F55" s="1">
        <v>2</v>
      </c>
      <c r="G55" t="s">
        <v>396</v>
      </c>
    </row>
    <row r="56" spans="1:7" x14ac:dyDescent="0.25">
      <c r="A56">
        <v>55</v>
      </c>
      <c r="B56" t="s">
        <v>108</v>
      </c>
      <c r="C56" t="s">
        <v>109</v>
      </c>
      <c r="D56">
        <v>46.337000000000003</v>
      </c>
      <c r="E56" s="2">
        <v>85</v>
      </c>
      <c r="F56" s="1">
        <v>9</v>
      </c>
      <c r="G56" t="s">
        <v>402</v>
      </c>
    </row>
    <row r="57" spans="1:7" x14ac:dyDescent="0.25">
      <c r="A57">
        <v>56</v>
      </c>
      <c r="B57" t="s">
        <v>110</v>
      </c>
      <c r="C57" t="s">
        <v>111</v>
      </c>
      <c r="D57">
        <v>47.014000000000003</v>
      </c>
      <c r="E57" s="2">
        <v>82</v>
      </c>
      <c r="F57" s="1">
        <v>2</v>
      </c>
      <c r="G57" t="s">
        <v>396</v>
      </c>
    </row>
    <row r="58" spans="1:7" x14ac:dyDescent="0.25">
      <c r="A58">
        <v>57</v>
      </c>
      <c r="B58" t="s">
        <v>112</v>
      </c>
      <c r="C58" t="s">
        <v>113</v>
      </c>
      <c r="D58">
        <v>46.820999999999998</v>
      </c>
      <c r="E58" s="2">
        <v>84</v>
      </c>
      <c r="F58" s="1">
        <v>2</v>
      </c>
      <c r="G58" t="s">
        <v>396</v>
      </c>
    </row>
    <row r="59" spans="1:7" x14ac:dyDescent="0.25">
      <c r="A59">
        <v>58</v>
      </c>
      <c r="B59" t="s">
        <v>114</v>
      </c>
      <c r="C59" t="s">
        <v>115</v>
      </c>
      <c r="D59">
        <v>47.710999999999999</v>
      </c>
      <c r="E59" s="2">
        <v>148</v>
      </c>
      <c r="F59" s="1">
        <v>9</v>
      </c>
      <c r="G59" t="s">
        <v>402</v>
      </c>
    </row>
    <row r="60" spans="1:7" x14ac:dyDescent="0.25">
      <c r="A60">
        <v>59</v>
      </c>
      <c r="B60" t="s">
        <v>116</v>
      </c>
      <c r="C60" t="s">
        <v>117</v>
      </c>
      <c r="D60">
        <v>47.881</v>
      </c>
      <c r="E60" s="2" t="s">
        <v>413</v>
      </c>
      <c r="F60" s="1">
        <v>9</v>
      </c>
      <c r="G60" t="s">
        <v>402</v>
      </c>
    </row>
    <row r="61" spans="1:7" x14ac:dyDescent="0.25">
      <c r="A61">
        <v>60</v>
      </c>
      <c r="B61" t="s">
        <v>118</v>
      </c>
      <c r="C61" t="s">
        <v>119</v>
      </c>
      <c r="D61">
        <v>47.362000000000002</v>
      </c>
      <c r="E61" s="2">
        <v>89</v>
      </c>
      <c r="F61" s="1">
        <v>2</v>
      </c>
      <c r="G61" t="s">
        <v>396</v>
      </c>
    </row>
    <row r="62" spans="1:7" x14ac:dyDescent="0.25">
      <c r="A62">
        <v>61</v>
      </c>
      <c r="B62" t="s">
        <v>120</v>
      </c>
      <c r="C62" t="s">
        <v>121</v>
      </c>
      <c r="D62">
        <v>47.335000000000001</v>
      </c>
      <c r="E62" s="2">
        <v>91</v>
      </c>
      <c r="F62" s="1">
        <v>2</v>
      </c>
      <c r="G62" t="s">
        <v>396</v>
      </c>
    </row>
    <row r="63" spans="1:7" x14ac:dyDescent="0.25">
      <c r="A63">
        <v>62</v>
      </c>
      <c r="B63" t="s">
        <v>122</v>
      </c>
      <c r="C63" t="s">
        <v>123</v>
      </c>
      <c r="D63">
        <v>46.847999999999999</v>
      </c>
      <c r="E63" s="2" t="s">
        <v>414</v>
      </c>
      <c r="F63" s="1">
        <v>5</v>
      </c>
      <c r="G63" t="s">
        <v>404</v>
      </c>
    </row>
    <row r="64" spans="1:7" x14ac:dyDescent="0.25">
      <c r="A64">
        <v>63</v>
      </c>
      <c r="B64" t="s">
        <v>124</v>
      </c>
      <c r="C64" t="s">
        <v>125</v>
      </c>
      <c r="D64">
        <v>47.213999999999999</v>
      </c>
      <c r="E64" s="2">
        <v>19</v>
      </c>
      <c r="F64" s="1">
        <v>11</v>
      </c>
      <c r="G64" t="s">
        <v>395</v>
      </c>
    </row>
    <row r="65" spans="1:7" x14ac:dyDescent="0.25">
      <c r="A65">
        <v>64</v>
      </c>
      <c r="B65" t="s">
        <v>126</v>
      </c>
      <c r="C65" t="s">
        <v>127</v>
      </c>
      <c r="D65">
        <v>46.828000000000003</v>
      </c>
      <c r="E65" s="2">
        <v>34</v>
      </c>
      <c r="F65" s="1">
        <v>5</v>
      </c>
      <c r="G65" t="s">
        <v>404</v>
      </c>
    </row>
    <row r="66" spans="1:7" x14ac:dyDescent="0.25">
      <c r="A66">
        <v>65</v>
      </c>
      <c r="B66" t="s">
        <v>128</v>
      </c>
      <c r="C66" t="s">
        <v>129</v>
      </c>
      <c r="D66">
        <v>45.734999999999999</v>
      </c>
      <c r="E66" s="2">
        <v>30</v>
      </c>
      <c r="F66" s="1">
        <v>11</v>
      </c>
      <c r="G66" t="s">
        <v>395</v>
      </c>
    </row>
    <row r="67" spans="1:7" x14ac:dyDescent="0.25">
      <c r="A67">
        <v>66</v>
      </c>
      <c r="B67" t="s">
        <v>130</v>
      </c>
      <c r="C67" t="s">
        <v>131</v>
      </c>
      <c r="D67">
        <v>47.444000000000003</v>
      </c>
      <c r="E67" s="2">
        <v>36</v>
      </c>
      <c r="F67" s="1">
        <v>5</v>
      </c>
      <c r="G67" t="s">
        <v>404</v>
      </c>
    </row>
    <row r="68" spans="1:7" x14ac:dyDescent="0.25">
      <c r="A68">
        <v>67</v>
      </c>
      <c r="B68" t="s">
        <v>132</v>
      </c>
      <c r="C68" t="s">
        <v>133</v>
      </c>
      <c r="D68">
        <v>47.594999999999999</v>
      </c>
      <c r="E68" s="2">
        <v>18</v>
      </c>
      <c r="F68" s="1">
        <v>11</v>
      </c>
      <c r="G68" t="s">
        <v>395</v>
      </c>
    </row>
    <row r="69" spans="1:7" x14ac:dyDescent="0.25">
      <c r="A69">
        <v>68</v>
      </c>
      <c r="B69" t="s">
        <v>134</v>
      </c>
      <c r="C69" t="s">
        <v>135</v>
      </c>
      <c r="D69">
        <v>47.636000000000003</v>
      </c>
      <c r="E69" s="2" t="s">
        <v>415</v>
      </c>
      <c r="F69" s="1">
        <v>11</v>
      </c>
      <c r="G69" t="s">
        <v>395</v>
      </c>
    </row>
    <row r="70" spans="1:7" x14ac:dyDescent="0.25">
      <c r="A70">
        <v>69</v>
      </c>
      <c r="B70" t="s">
        <v>136</v>
      </c>
      <c r="C70" t="s">
        <v>137</v>
      </c>
      <c r="D70">
        <v>46.825000000000003</v>
      </c>
      <c r="E70" s="2">
        <v>28</v>
      </c>
      <c r="F70" s="1">
        <v>11</v>
      </c>
      <c r="G70" t="s">
        <v>395</v>
      </c>
    </row>
    <row r="71" spans="1:7" x14ac:dyDescent="0.25">
      <c r="A71">
        <v>70</v>
      </c>
      <c r="B71" t="s">
        <v>138</v>
      </c>
      <c r="C71" t="s">
        <v>139</v>
      </c>
      <c r="D71">
        <v>46.615000000000002</v>
      </c>
      <c r="E71" s="2">
        <v>29</v>
      </c>
      <c r="F71" s="1">
        <v>11</v>
      </c>
      <c r="G71" t="s">
        <v>395</v>
      </c>
    </row>
    <row r="72" spans="1:7" x14ac:dyDescent="0.25">
      <c r="A72">
        <v>71</v>
      </c>
      <c r="B72" t="s">
        <v>140</v>
      </c>
      <c r="C72" t="s">
        <v>141</v>
      </c>
      <c r="D72">
        <v>45.529000000000003</v>
      </c>
      <c r="E72" s="2">
        <v>34</v>
      </c>
      <c r="F72" s="1">
        <v>11</v>
      </c>
      <c r="G72" t="s">
        <v>395</v>
      </c>
    </row>
    <row r="73" spans="1:7" x14ac:dyDescent="0.25">
      <c r="A73">
        <v>72</v>
      </c>
      <c r="B73" t="s">
        <v>142</v>
      </c>
      <c r="C73" t="s">
        <v>143</v>
      </c>
      <c r="D73">
        <v>45.92</v>
      </c>
      <c r="E73" s="2" t="s">
        <v>416</v>
      </c>
      <c r="F73" s="1">
        <v>11</v>
      </c>
      <c r="G73" t="s">
        <v>395</v>
      </c>
    </row>
    <row r="74" spans="1:7" x14ac:dyDescent="0.25">
      <c r="A74">
        <v>73</v>
      </c>
      <c r="B74" t="s">
        <v>144</v>
      </c>
      <c r="C74" t="s">
        <v>145</v>
      </c>
      <c r="D74">
        <v>44.563000000000002</v>
      </c>
      <c r="E74" s="2" t="s">
        <v>417</v>
      </c>
      <c r="F74" s="1">
        <v>5</v>
      </c>
      <c r="G74" t="s">
        <v>404</v>
      </c>
    </row>
    <row r="75" spans="1:7" x14ac:dyDescent="0.25">
      <c r="A75">
        <v>74</v>
      </c>
      <c r="B75" t="s">
        <v>146</v>
      </c>
      <c r="C75" t="s">
        <v>147</v>
      </c>
      <c r="D75">
        <v>45.015000000000001</v>
      </c>
      <c r="E75" s="2">
        <v>192</v>
      </c>
      <c r="F75" s="1">
        <v>13</v>
      </c>
      <c r="G75" t="s">
        <v>411</v>
      </c>
    </row>
    <row r="76" spans="1:7" x14ac:dyDescent="0.25">
      <c r="A76">
        <v>75</v>
      </c>
      <c r="B76" t="s">
        <v>148</v>
      </c>
      <c r="C76" t="s">
        <v>149</v>
      </c>
      <c r="D76">
        <v>44.243000000000002</v>
      </c>
      <c r="E76" s="2">
        <v>132</v>
      </c>
      <c r="F76" s="1">
        <v>2</v>
      </c>
      <c r="G76" t="s">
        <v>396</v>
      </c>
    </row>
    <row r="77" spans="1:7" x14ac:dyDescent="0.25">
      <c r="A77">
        <v>76</v>
      </c>
      <c r="B77" t="s">
        <v>150</v>
      </c>
      <c r="C77" t="s">
        <v>151</v>
      </c>
      <c r="D77">
        <v>42.036000000000001</v>
      </c>
      <c r="E77" s="2">
        <v>72</v>
      </c>
      <c r="F77" s="1">
        <v>2</v>
      </c>
      <c r="G77" t="s">
        <v>396</v>
      </c>
    </row>
    <row r="78" spans="1:7" x14ac:dyDescent="0.25">
      <c r="A78">
        <v>77</v>
      </c>
      <c r="B78" t="s">
        <v>152</v>
      </c>
      <c r="C78" t="s">
        <v>153</v>
      </c>
      <c r="D78">
        <v>43.499000000000002</v>
      </c>
      <c r="E78" s="2">
        <v>73</v>
      </c>
      <c r="F78" s="1">
        <v>3</v>
      </c>
      <c r="G78" t="s">
        <v>391</v>
      </c>
    </row>
    <row r="79" spans="1:7" x14ac:dyDescent="0.25">
      <c r="A79">
        <v>78</v>
      </c>
      <c r="B79" t="s">
        <v>154</v>
      </c>
      <c r="C79" t="s">
        <v>155</v>
      </c>
      <c r="D79">
        <v>42.213999999999999</v>
      </c>
      <c r="E79" s="2" t="s">
        <v>418</v>
      </c>
      <c r="F79" s="1">
        <v>7</v>
      </c>
      <c r="G79" t="s">
        <v>397</v>
      </c>
    </row>
    <row r="80" spans="1:7" x14ac:dyDescent="0.25">
      <c r="A80">
        <v>79</v>
      </c>
      <c r="B80" t="s">
        <v>156</v>
      </c>
      <c r="C80" t="s">
        <v>157</v>
      </c>
      <c r="D80">
        <v>42.337000000000003</v>
      </c>
      <c r="E80" s="2">
        <v>118</v>
      </c>
      <c r="F80" s="1">
        <v>13</v>
      </c>
      <c r="G80" t="s">
        <v>411</v>
      </c>
    </row>
    <row r="81" spans="1:7" x14ac:dyDescent="0.25">
      <c r="A81">
        <v>80</v>
      </c>
      <c r="B81" t="s">
        <v>158</v>
      </c>
      <c r="C81" t="s">
        <v>159</v>
      </c>
      <c r="D81">
        <v>42.276000000000003</v>
      </c>
      <c r="E81" s="2">
        <v>82</v>
      </c>
      <c r="F81" s="1">
        <v>14</v>
      </c>
      <c r="G81" t="s">
        <v>421</v>
      </c>
    </row>
    <row r="82" spans="1:7" x14ac:dyDescent="0.25">
      <c r="A82">
        <v>81</v>
      </c>
      <c r="B82" t="s">
        <v>160</v>
      </c>
      <c r="C82" t="s">
        <v>161</v>
      </c>
      <c r="D82">
        <v>40.67</v>
      </c>
      <c r="E82" s="2" t="s">
        <v>419</v>
      </c>
      <c r="F82" s="1">
        <v>3</v>
      </c>
      <c r="G82" t="s">
        <v>391</v>
      </c>
    </row>
    <row r="83" spans="1:7" x14ac:dyDescent="0.25">
      <c r="A83">
        <v>82</v>
      </c>
      <c r="B83" t="s">
        <v>162</v>
      </c>
      <c r="C83" t="s">
        <v>163</v>
      </c>
      <c r="D83">
        <v>40.603000000000002</v>
      </c>
      <c r="E83" s="2">
        <v>114</v>
      </c>
      <c r="F83" s="1">
        <v>2</v>
      </c>
      <c r="G83" t="s">
        <v>396</v>
      </c>
    </row>
    <row r="84" spans="1:7" x14ac:dyDescent="0.25">
      <c r="A84">
        <v>83</v>
      </c>
      <c r="B84" t="s">
        <v>164</v>
      </c>
      <c r="C84" t="s">
        <v>165</v>
      </c>
      <c r="D84">
        <v>37.875</v>
      </c>
      <c r="E84" s="2" t="s">
        <v>420</v>
      </c>
      <c r="F84" s="1">
        <v>15</v>
      </c>
      <c r="G84" t="s">
        <v>422</v>
      </c>
    </row>
    <row r="85" spans="1:7" x14ac:dyDescent="0.25">
      <c r="A85">
        <v>84</v>
      </c>
      <c r="B85" t="s">
        <v>166</v>
      </c>
      <c r="C85" t="s">
        <v>167</v>
      </c>
      <c r="D85">
        <v>38.475999999999999</v>
      </c>
      <c r="E85" s="2">
        <v>115</v>
      </c>
      <c r="F85" s="1">
        <v>3</v>
      </c>
      <c r="G85" t="s">
        <v>391</v>
      </c>
    </row>
    <row r="86" spans="1:7" x14ac:dyDescent="0.25">
      <c r="A86">
        <v>85</v>
      </c>
      <c r="B86" t="s">
        <v>168</v>
      </c>
      <c r="C86" t="s">
        <v>169</v>
      </c>
      <c r="D86">
        <v>38.027999999999999</v>
      </c>
      <c r="E86" s="2">
        <v>23</v>
      </c>
      <c r="F86" s="1">
        <v>5</v>
      </c>
      <c r="G86" t="s">
        <v>404</v>
      </c>
    </row>
    <row r="87" spans="1:7" x14ac:dyDescent="0.25">
      <c r="A87">
        <v>86</v>
      </c>
      <c r="B87" t="s">
        <v>170</v>
      </c>
      <c r="C87" t="s">
        <v>171</v>
      </c>
      <c r="D87">
        <v>37.89</v>
      </c>
      <c r="E87" s="2">
        <v>30</v>
      </c>
      <c r="F87" s="1">
        <v>5</v>
      </c>
      <c r="G87" t="s">
        <v>404</v>
      </c>
    </row>
    <row r="88" spans="1:7" x14ac:dyDescent="0.25">
      <c r="A88">
        <v>87</v>
      </c>
      <c r="B88" t="s">
        <v>172</v>
      </c>
      <c r="C88" t="s">
        <v>173</v>
      </c>
      <c r="D88">
        <v>37.793999999999997</v>
      </c>
      <c r="E88" s="2">
        <v>18</v>
      </c>
      <c r="F88" s="1">
        <v>5</v>
      </c>
      <c r="G88" t="s">
        <v>404</v>
      </c>
    </row>
    <row r="89" spans="1:7" x14ac:dyDescent="0.25">
      <c r="A89">
        <v>88</v>
      </c>
      <c r="B89" t="s">
        <v>174</v>
      </c>
      <c r="C89" t="s">
        <v>175</v>
      </c>
      <c r="D89">
        <v>37.469000000000001</v>
      </c>
      <c r="E89" s="2">
        <v>27</v>
      </c>
      <c r="F89" s="1">
        <v>5</v>
      </c>
      <c r="G89" t="s">
        <v>404</v>
      </c>
    </row>
    <row r="90" spans="1:7" x14ac:dyDescent="0.25">
      <c r="A90">
        <v>89</v>
      </c>
      <c r="B90" t="s">
        <v>176</v>
      </c>
      <c r="C90" t="s">
        <v>177</v>
      </c>
      <c r="D90">
        <v>39.158000000000001</v>
      </c>
      <c r="E90" s="2">
        <v>103</v>
      </c>
      <c r="F90" s="1">
        <v>13</v>
      </c>
      <c r="G90" t="s">
        <v>411</v>
      </c>
    </row>
    <row r="91" spans="1:7" x14ac:dyDescent="0.25">
      <c r="A91">
        <v>90</v>
      </c>
      <c r="B91" t="s">
        <v>178</v>
      </c>
      <c r="C91" t="s">
        <v>179</v>
      </c>
      <c r="D91">
        <v>39.823</v>
      </c>
      <c r="E91" s="2">
        <v>130</v>
      </c>
      <c r="F91" s="1">
        <v>2</v>
      </c>
      <c r="G91" t="s">
        <v>396</v>
      </c>
    </row>
    <row r="92" spans="1:7" x14ac:dyDescent="0.25">
      <c r="A92">
        <v>91</v>
      </c>
      <c r="B92" t="s">
        <v>180</v>
      </c>
      <c r="C92" t="s">
        <v>181</v>
      </c>
      <c r="D92">
        <v>40.161000000000001</v>
      </c>
      <c r="E92" s="2">
        <v>80</v>
      </c>
      <c r="F92" s="1">
        <v>10</v>
      </c>
      <c r="G92" t="s">
        <v>429</v>
      </c>
    </row>
    <row r="93" spans="1:7" x14ac:dyDescent="0.25">
      <c r="A93">
        <v>92</v>
      </c>
      <c r="B93" t="s">
        <v>182</v>
      </c>
      <c r="C93" t="s">
        <v>183</v>
      </c>
      <c r="D93">
        <v>40.542000000000002</v>
      </c>
      <c r="E93" s="2">
        <v>82</v>
      </c>
      <c r="F93" s="1">
        <v>2</v>
      </c>
      <c r="G93" t="s">
        <v>396</v>
      </c>
    </row>
    <row r="94" spans="1:7" x14ac:dyDescent="0.25">
      <c r="A94">
        <v>93</v>
      </c>
      <c r="B94" t="s">
        <v>184</v>
      </c>
      <c r="C94" t="s">
        <v>185</v>
      </c>
      <c r="D94">
        <v>40.561999999999998</v>
      </c>
      <c r="E94" s="2">
        <v>104</v>
      </c>
      <c r="F94" s="1">
        <v>7</v>
      </c>
      <c r="G94" t="s">
        <v>397</v>
      </c>
    </row>
    <row r="95" spans="1:7" x14ac:dyDescent="0.25">
      <c r="A95">
        <v>94</v>
      </c>
      <c r="B95" t="s">
        <v>186</v>
      </c>
      <c r="C95" t="s">
        <v>187</v>
      </c>
      <c r="D95">
        <v>39.774000000000001</v>
      </c>
      <c r="E95" s="2">
        <v>151</v>
      </c>
      <c r="F95" s="1">
        <v>9</v>
      </c>
      <c r="G95" t="s">
        <v>402</v>
      </c>
    </row>
    <row r="96" spans="1:7" x14ac:dyDescent="0.25">
      <c r="A96">
        <v>95</v>
      </c>
      <c r="B96" t="s">
        <v>188</v>
      </c>
      <c r="C96" t="s">
        <v>189</v>
      </c>
      <c r="D96">
        <v>39.823999999999998</v>
      </c>
      <c r="E96" s="2" t="s">
        <v>423</v>
      </c>
      <c r="F96" s="1">
        <v>9</v>
      </c>
      <c r="G96" t="s">
        <v>402</v>
      </c>
    </row>
    <row r="97" spans="1:7" x14ac:dyDescent="0.25">
      <c r="A97">
        <v>96</v>
      </c>
      <c r="B97" t="s">
        <v>190</v>
      </c>
      <c r="C97" t="s">
        <v>191</v>
      </c>
      <c r="D97">
        <v>39.786000000000001</v>
      </c>
      <c r="E97" s="2" t="s">
        <v>424</v>
      </c>
      <c r="F97" s="1">
        <v>9</v>
      </c>
      <c r="G97" t="s">
        <v>402</v>
      </c>
    </row>
    <row r="98" spans="1:7" x14ac:dyDescent="0.25">
      <c r="A98">
        <v>97</v>
      </c>
      <c r="B98" t="s">
        <v>192</v>
      </c>
      <c r="C98" t="s">
        <v>193</v>
      </c>
      <c r="D98">
        <v>38.073999999999998</v>
      </c>
      <c r="E98" s="2">
        <v>154</v>
      </c>
      <c r="F98" s="1">
        <v>6</v>
      </c>
      <c r="G98" t="s">
        <v>430</v>
      </c>
    </row>
    <row r="99" spans="1:7" x14ac:dyDescent="0.25">
      <c r="A99">
        <v>98</v>
      </c>
      <c r="B99" t="s">
        <v>194</v>
      </c>
      <c r="C99" t="s">
        <v>195</v>
      </c>
      <c r="D99">
        <v>37.258000000000003</v>
      </c>
      <c r="E99" s="2" t="s">
        <v>425</v>
      </c>
      <c r="F99" s="1">
        <v>15</v>
      </c>
      <c r="G99" t="s">
        <v>422</v>
      </c>
    </row>
    <row r="100" spans="1:7" x14ac:dyDescent="0.25">
      <c r="A100">
        <v>99</v>
      </c>
      <c r="B100" t="s">
        <v>196</v>
      </c>
      <c r="C100" t="s">
        <v>197</v>
      </c>
      <c r="D100">
        <v>36.92</v>
      </c>
      <c r="E100" s="2">
        <v>10</v>
      </c>
      <c r="F100" s="1">
        <v>15</v>
      </c>
      <c r="G100" t="s">
        <v>422</v>
      </c>
    </row>
    <row r="101" spans="1:7" x14ac:dyDescent="0.25">
      <c r="A101">
        <v>100</v>
      </c>
      <c r="B101" t="s">
        <v>198</v>
      </c>
      <c r="C101" t="s">
        <v>199</v>
      </c>
      <c r="D101">
        <v>37.999000000000002</v>
      </c>
      <c r="E101" s="2">
        <v>28</v>
      </c>
      <c r="F101" s="1">
        <v>11</v>
      </c>
      <c r="G101" t="s">
        <v>395</v>
      </c>
    </row>
    <row r="102" spans="1:7" x14ac:dyDescent="0.25">
      <c r="A102">
        <v>101</v>
      </c>
      <c r="B102" t="s">
        <v>200</v>
      </c>
      <c r="C102" t="s">
        <v>201</v>
      </c>
      <c r="D102">
        <v>39.646000000000001</v>
      </c>
      <c r="E102" s="2">
        <v>21</v>
      </c>
      <c r="F102" s="1">
        <v>11</v>
      </c>
      <c r="G102" t="s">
        <v>395</v>
      </c>
    </row>
    <row r="103" spans="1:7" x14ac:dyDescent="0.25">
      <c r="A103">
        <v>102</v>
      </c>
      <c r="B103" t="s">
        <v>202</v>
      </c>
      <c r="C103" t="s">
        <v>203</v>
      </c>
      <c r="D103">
        <v>40.627000000000002</v>
      </c>
      <c r="E103" s="2">
        <v>25</v>
      </c>
      <c r="F103" s="1">
        <v>11</v>
      </c>
      <c r="G103" t="s">
        <v>395</v>
      </c>
    </row>
    <row r="104" spans="1:7" x14ac:dyDescent="0.25">
      <c r="A104">
        <v>103</v>
      </c>
      <c r="B104" t="s">
        <v>204</v>
      </c>
      <c r="C104" t="s">
        <v>205</v>
      </c>
      <c r="D104">
        <v>42.021999999999998</v>
      </c>
      <c r="E104" s="2">
        <v>200</v>
      </c>
      <c r="F104" s="1">
        <v>13</v>
      </c>
      <c r="G104" t="s">
        <v>411</v>
      </c>
    </row>
    <row r="105" spans="1:7" x14ac:dyDescent="0.25">
      <c r="A105">
        <v>104</v>
      </c>
      <c r="B105" t="s">
        <v>206</v>
      </c>
      <c r="C105" t="s">
        <v>207</v>
      </c>
      <c r="D105">
        <v>41.613</v>
      </c>
      <c r="E105" s="2">
        <v>96</v>
      </c>
      <c r="F105" s="1">
        <v>9</v>
      </c>
      <c r="G105" t="s">
        <v>402</v>
      </c>
    </row>
    <row r="106" spans="1:7" x14ac:dyDescent="0.25">
      <c r="A106">
        <v>105</v>
      </c>
      <c r="B106" t="s">
        <v>208</v>
      </c>
      <c r="C106" t="s">
        <v>209</v>
      </c>
      <c r="D106">
        <v>42.116999999999997</v>
      </c>
      <c r="E106" s="2">
        <v>128</v>
      </c>
      <c r="F106" s="1">
        <v>2</v>
      </c>
      <c r="G106" t="s">
        <v>396</v>
      </c>
    </row>
    <row r="107" spans="1:7" x14ac:dyDescent="0.25">
      <c r="A107">
        <v>106</v>
      </c>
      <c r="B107" t="s">
        <v>210</v>
      </c>
      <c r="C107" t="s">
        <v>211</v>
      </c>
      <c r="D107">
        <v>42.179000000000002</v>
      </c>
      <c r="E107" s="2" t="s">
        <v>426</v>
      </c>
      <c r="F107" s="1">
        <v>2</v>
      </c>
      <c r="G107" t="s">
        <v>396</v>
      </c>
    </row>
    <row r="108" spans="1:7" x14ac:dyDescent="0.25">
      <c r="A108">
        <v>107</v>
      </c>
      <c r="B108" t="s">
        <v>212</v>
      </c>
      <c r="C108" t="s">
        <v>213</v>
      </c>
      <c r="D108">
        <v>41.932000000000002</v>
      </c>
      <c r="E108" s="2">
        <v>21</v>
      </c>
      <c r="F108" s="1">
        <v>5</v>
      </c>
      <c r="G108" t="s">
        <v>404</v>
      </c>
    </row>
    <row r="109" spans="1:7" x14ac:dyDescent="0.25">
      <c r="A109">
        <v>108</v>
      </c>
      <c r="B109" t="s">
        <v>214</v>
      </c>
      <c r="C109" t="s">
        <v>215</v>
      </c>
      <c r="D109">
        <v>41.14</v>
      </c>
    </row>
    <row r="110" spans="1:7" x14ac:dyDescent="0.25">
      <c r="A110">
        <v>109</v>
      </c>
      <c r="B110" t="s">
        <v>216</v>
      </c>
      <c r="C110" t="s">
        <v>217</v>
      </c>
      <c r="D110">
        <v>40.691000000000003</v>
      </c>
      <c r="E110" s="2">
        <v>19</v>
      </c>
      <c r="F110" s="1">
        <v>11</v>
      </c>
      <c r="G110" t="s">
        <v>395</v>
      </c>
    </row>
    <row r="111" spans="1:7" x14ac:dyDescent="0.25">
      <c r="A111">
        <v>110</v>
      </c>
      <c r="B111" t="s">
        <v>218</v>
      </c>
      <c r="C111" t="s">
        <v>219</v>
      </c>
      <c r="D111">
        <v>39.820999999999998</v>
      </c>
      <c r="E111" s="2" t="s">
        <v>427</v>
      </c>
      <c r="F111" s="1">
        <v>17</v>
      </c>
      <c r="G111" t="s">
        <v>431</v>
      </c>
    </row>
    <row r="112" spans="1:7" x14ac:dyDescent="0.25">
      <c r="A112">
        <v>111</v>
      </c>
      <c r="B112" t="s">
        <v>220</v>
      </c>
      <c r="C112" t="s">
        <v>221</v>
      </c>
      <c r="D112">
        <v>44.091999999999999</v>
      </c>
      <c r="E112" s="2" t="s">
        <v>428</v>
      </c>
      <c r="F112" s="1">
        <v>13</v>
      </c>
      <c r="G112" t="s">
        <v>411</v>
      </c>
    </row>
    <row r="113" spans="1:7" x14ac:dyDescent="0.25">
      <c r="A113">
        <v>112</v>
      </c>
      <c r="B113" t="s">
        <v>222</v>
      </c>
      <c r="C113" t="s">
        <v>223</v>
      </c>
      <c r="D113">
        <v>41.271000000000001</v>
      </c>
      <c r="E113" s="2">
        <v>96</v>
      </c>
      <c r="F113" s="1">
        <v>9</v>
      </c>
      <c r="G113" t="s">
        <v>402</v>
      </c>
    </row>
    <row r="114" spans="1:7" x14ac:dyDescent="0.25">
      <c r="A114">
        <v>113</v>
      </c>
      <c r="B114" t="s">
        <v>224</v>
      </c>
      <c r="C114" t="s">
        <v>225</v>
      </c>
      <c r="D114">
        <v>41.164999999999999</v>
      </c>
      <c r="E114" s="2">
        <v>18</v>
      </c>
      <c r="F114" s="1">
        <v>9</v>
      </c>
      <c r="G114" t="s">
        <v>402</v>
      </c>
    </row>
    <row r="115" spans="1:7" x14ac:dyDescent="0.25">
      <c r="A115">
        <v>114</v>
      </c>
      <c r="B115" t="s">
        <v>226</v>
      </c>
      <c r="C115" t="s">
        <v>227</v>
      </c>
      <c r="D115">
        <v>40.087000000000003</v>
      </c>
      <c r="E115" s="2">
        <v>143</v>
      </c>
      <c r="F115" s="1">
        <v>4</v>
      </c>
      <c r="G115" t="s">
        <v>392</v>
      </c>
    </row>
    <row r="116" spans="1:7" x14ac:dyDescent="0.25">
      <c r="A116">
        <v>115</v>
      </c>
      <c r="B116" t="s">
        <v>228</v>
      </c>
      <c r="C116" t="s">
        <v>229</v>
      </c>
      <c r="D116">
        <v>41.003999999999998</v>
      </c>
      <c r="E116" s="2">
        <v>122</v>
      </c>
      <c r="F116" s="1">
        <v>7</v>
      </c>
      <c r="G116" t="s">
        <v>397</v>
      </c>
    </row>
    <row r="117" spans="1:7" x14ac:dyDescent="0.25">
      <c r="A117">
        <v>116</v>
      </c>
      <c r="B117" t="s">
        <v>230</v>
      </c>
      <c r="C117" t="s">
        <v>231</v>
      </c>
      <c r="D117">
        <v>43.695999999999998</v>
      </c>
      <c r="E117" s="2">
        <v>82</v>
      </c>
      <c r="F117" s="1">
        <v>9</v>
      </c>
      <c r="G117" t="s">
        <v>402</v>
      </c>
    </row>
    <row r="118" spans="1:7" x14ac:dyDescent="0.25">
      <c r="A118">
        <v>117</v>
      </c>
      <c r="B118" t="s">
        <v>232</v>
      </c>
      <c r="C118" t="s">
        <v>233</v>
      </c>
      <c r="D118">
        <v>43.500999999999998</v>
      </c>
      <c r="E118" s="2">
        <v>93</v>
      </c>
      <c r="F118" s="1">
        <v>9</v>
      </c>
      <c r="G118" t="s">
        <v>402</v>
      </c>
    </row>
    <row r="119" spans="1:7" x14ac:dyDescent="0.25">
      <c r="A119">
        <v>118</v>
      </c>
      <c r="B119" t="s">
        <v>234</v>
      </c>
      <c r="C119" t="s">
        <v>235</v>
      </c>
      <c r="D119">
        <v>43.902000000000001</v>
      </c>
      <c r="E119" s="2" t="s">
        <v>432</v>
      </c>
      <c r="F119" s="1">
        <v>9</v>
      </c>
      <c r="G119" t="s">
        <v>402</v>
      </c>
    </row>
    <row r="120" spans="1:7" x14ac:dyDescent="0.25">
      <c r="A120">
        <v>119</v>
      </c>
      <c r="B120" t="s">
        <v>236</v>
      </c>
      <c r="C120" t="s">
        <v>237</v>
      </c>
      <c r="D120">
        <v>43.423000000000002</v>
      </c>
      <c r="E120" s="2">
        <v>109</v>
      </c>
      <c r="F120" s="1">
        <v>7</v>
      </c>
      <c r="G120" t="s">
        <v>397</v>
      </c>
    </row>
    <row r="121" spans="1:7" x14ac:dyDescent="0.25">
      <c r="A121">
        <v>120</v>
      </c>
      <c r="B121" t="s">
        <v>238</v>
      </c>
      <c r="C121" t="s">
        <v>239</v>
      </c>
      <c r="D121">
        <v>42.863999999999997</v>
      </c>
      <c r="E121" s="2" t="s">
        <v>433</v>
      </c>
      <c r="F121" s="1">
        <v>2</v>
      </c>
      <c r="G121" t="s">
        <v>396</v>
      </c>
    </row>
    <row r="122" spans="1:7" x14ac:dyDescent="0.25">
      <c r="A122">
        <v>121</v>
      </c>
      <c r="B122" t="s">
        <v>240</v>
      </c>
      <c r="C122" t="s">
        <v>241</v>
      </c>
      <c r="D122">
        <v>43.561999999999998</v>
      </c>
      <c r="E122" s="2">
        <v>126</v>
      </c>
      <c r="F122" s="1">
        <v>7</v>
      </c>
      <c r="G122" t="s">
        <v>397</v>
      </c>
    </row>
    <row r="123" spans="1:7" x14ac:dyDescent="0.25">
      <c r="A123">
        <v>122</v>
      </c>
      <c r="B123" t="s">
        <v>242</v>
      </c>
      <c r="C123" t="s">
        <v>243</v>
      </c>
      <c r="D123">
        <v>45.008000000000003</v>
      </c>
      <c r="E123" s="2">
        <v>182</v>
      </c>
      <c r="F123" s="1">
        <v>13</v>
      </c>
      <c r="G123" t="s">
        <v>411</v>
      </c>
    </row>
    <row r="124" spans="1:7" x14ac:dyDescent="0.25">
      <c r="A124">
        <v>123</v>
      </c>
      <c r="B124" t="s">
        <v>244</v>
      </c>
      <c r="C124" t="s">
        <v>245</v>
      </c>
      <c r="D124">
        <v>45.064</v>
      </c>
      <c r="E124" s="2" t="s">
        <v>434</v>
      </c>
      <c r="F124" s="1">
        <v>9</v>
      </c>
      <c r="G124" t="s">
        <v>402</v>
      </c>
    </row>
    <row r="125" spans="1:7" x14ac:dyDescent="0.25">
      <c r="A125">
        <v>124</v>
      </c>
      <c r="B125" t="s">
        <v>246</v>
      </c>
      <c r="C125" t="s">
        <v>247</v>
      </c>
      <c r="D125">
        <v>45.162999999999997</v>
      </c>
      <c r="E125" s="2">
        <v>105</v>
      </c>
      <c r="F125" s="1">
        <v>9</v>
      </c>
      <c r="G125" t="s">
        <v>402</v>
      </c>
    </row>
    <row r="126" spans="1:7" x14ac:dyDescent="0.25">
      <c r="A126">
        <v>125</v>
      </c>
      <c r="B126" t="s">
        <v>248</v>
      </c>
      <c r="C126" t="s">
        <v>249</v>
      </c>
      <c r="D126">
        <v>45.220999999999997</v>
      </c>
      <c r="E126" s="2">
        <v>20.5</v>
      </c>
      <c r="F126" s="1">
        <v>17</v>
      </c>
      <c r="G126" t="s">
        <v>431</v>
      </c>
    </row>
    <row r="127" spans="1:7" x14ac:dyDescent="0.25">
      <c r="A127">
        <v>126</v>
      </c>
      <c r="B127" t="s">
        <v>250</v>
      </c>
      <c r="C127" t="s">
        <v>251</v>
      </c>
      <c r="D127">
        <v>45.006</v>
      </c>
      <c r="E127" s="2">
        <v>27</v>
      </c>
      <c r="F127" s="1">
        <v>15</v>
      </c>
      <c r="G127" t="s">
        <v>422</v>
      </c>
    </row>
    <row r="128" spans="1:7" x14ac:dyDescent="0.25">
      <c r="A128">
        <v>127</v>
      </c>
      <c r="B128" t="s">
        <v>252</v>
      </c>
      <c r="C128" t="s">
        <v>253</v>
      </c>
      <c r="D128">
        <v>45.122</v>
      </c>
      <c r="E128" s="2">
        <v>16</v>
      </c>
      <c r="F128" s="1">
        <v>15</v>
      </c>
      <c r="G128" t="s">
        <v>422</v>
      </c>
    </row>
    <row r="129" spans="1:7" x14ac:dyDescent="0.25">
      <c r="A129">
        <v>128</v>
      </c>
      <c r="B129" t="s">
        <v>254</v>
      </c>
      <c r="C129" t="s">
        <v>255</v>
      </c>
      <c r="D129">
        <v>45.478999999999999</v>
      </c>
      <c r="E129" s="2">
        <v>18</v>
      </c>
      <c r="F129" s="1">
        <v>17</v>
      </c>
      <c r="G129" t="s">
        <v>431</v>
      </c>
    </row>
    <row r="130" spans="1:7" x14ac:dyDescent="0.25">
      <c r="A130">
        <v>129</v>
      </c>
      <c r="B130" t="s">
        <v>256</v>
      </c>
      <c r="C130" t="s">
        <v>257</v>
      </c>
      <c r="D130">
        <v>45.564999999999998</v>
      </c>
      <c r="E130" s="2">
        <v>24</v>
      </c>
      <c r="F130" s="1">
        <v>16</v>
      </c>
      <c r="G130" t="s">
        <v>437</v>
      </c>
    </row>
    <row r="131" spans="1:7" x14ac:dyDescent="0.25">
      <c r="A131">
        <v>130</v>
      </c>
      <c r="B131" t="s">
        <v>258</v>
      </c>
      <c r="C131" t="s">
        <v>259</v>
      </c>
      <c r="D131">
        <v>45.593000000000004</v>
      </c>
      <c r="E131" s="2">
        <v>108</v>
      </c>
      <c r="F131" s="1">
        <v>9</v>
      </c>
      <c r="G131" t="s">
        <v>402</v>
      </c>
    </row>
    <row r="132" spans="1:7" x14ac:dyDescent="0.25">
      <c r="A132">
        <v>131</v>
      </c>
      <c r="B132" t="s">
        <v>260</v>
      </c>
      <c r="C132" t="s">
        <v>261</v>
      </c>
      <c r="D132">
        <v>45.036000000000001</v>
      </c>
      <c r="E132" s="2">
        <v>113</v>
      </c>
      <c r="F132" s="1">
        <v>7</v>
      </c>
      <c r="G132" t="s">
        <v>397</v>
      </c>
    </row>
    <row r="133" spans="1:7" x14ac:dyDescent="0.25">
      <c r="A133">
        <v>132</v>
      </c>
      <c r="B133" t="s">
        <v>262</v>
      </c>
      <c r="C133" t="s">
        <v>263</v>
      </c>
      <c r="D133">
        <v>45.042000000000002</v>
      </c>
      <c r="E133" s="2" t="s">
        <v>435</v>
      </c>
      <c r="F133" s="1">
        <v>7</v>
      </c>
      <c r="G133" t="s">
        <v>397</v>
      </c>
    </row>
    <row r="134" spans="1:7" x14ac:dyDescent="0.25">
      <c r="A134">
        <v>133</v>
      </c>
      <c r="B134" t="s">
        <v>264</v>
      </c>
      <c r="C134" t="s">
        <v>265</v>
      </c>
      <c r="D134">
        <v>43.395000000000003</v>
      </c>
      <c r="E134" s="2">
        <v>93</v>
      </c>
      <c r="F134" s="1">
        <v>3</v>
      </c>
      <c r="G134" t="s">
        <v>391</v>
      </c>
    </row>
    <row r="135" spans="1:7" x14ac:dyDescent="0.25">
      <c r="A135">
        <v>134</v>
      </c>
      <c r="B135" t="s">
        <v>266</v>
      </c>
      <c r="C135" t="s">
        <v>267</v>
      </c>
      <c r="D135">
        <v>43.225000000000001</v>
      </c>
      <c r="E135" s="2">
        <v>72</v>
      </c>
      <c r="F135" s="1">
        <v>3</v>
      </c>
      <c r="G135" t="s">
        <v>391</v>
      </c>
    </row>
    <row r="136" spans="1:7" x14ac:dyDescent="0.25">
      <c r="A136">
        <v>135</v>
      </c>
      <c r="B136" t="s">
        <v>268</v>
      </c>
      <c r="C136" t="s">
        <v>269</v>
      </c>
      <c r="D136">
        <v>43.238999999999997</v>
      </c>
      <c r="E136" s="2">
        <v>79</v>
      </c>
      <c r="F136" s="1">
        <v>3</v>
      </c>
      <c r="G136" t="s">
        <v>391</v>
      </c>
    </row>
    <row r="137" spans="1:7" x14ac:dyDescent="0.25">
      <c r="A137">
        <v>136</v>
      </c>
      <c r="B137" t="s">
        <v>270</v>
      </c>
      <c r="C137" t="s">
        <v>271</v>
      </c>
      <c r="D137">
        <v>43.203000000000003</v>
      </c>
      <c r="E137" s="2">
        <v>93</v>
      </c>
      <c r="F137" s="1">
        <v>2</v>
      </c>
      <c r="G137" t="s">
        <v>396</v>
      </c>
    </row>
    <row r="138" spans="1:7" x14ac:dyDescent="0.25">
      <c r="A138">
        <v>137</v>
      </c>
      <c r="B138" t="s">
        <v>272</v>
      </c>
      <c r="C138" t="s">
        <v>273</v>
      </c>
      <c r="D138">
        <v>43.235999999999997</v>
      </c>
      <c r="E138" s="2">
        <v>110</v>
      </c>
      <c r="F138" s="1">
        <v>9</v>
      </c>
      <c r="G138" t="s">
        <v>402</v>
      </c>
    </row>
    <row r="139" spans="1:7" x14ac:dyDescent="0.25">
      <c r="A139">
        <v>138</v>
      </c>
      <c r="B139" t="s">
        <v>274</v>
      </c>
      <c r="C139" t="s">
        <v>275</v>
      </c>
      <c r="D139">
        <v>45.890999999999998</v>
      </c>
      <c r="E139" s="2" t="s">
        <v>436</v>
      </c>
      <c r="F139" s="1">
        <v>9</v>
      </c>
      <c r="G139" t="s">
        <v>402</v>
      </c>
    </row>
    <row r="140" spans="1:7" x14ac:dyDescent="0.25">
      <c r="A140">
        <v>139</v>
      </c>
      <c r="B140" t="s">
        <v>276</v>
      </c>
      <c r="C140" t="s">
        <v>277</v>
      </c>
      <c r="D140">
        <v>46.603000000000002</v>
      </c>
      <c r="E140" s="2" t="s">
        <v>407</v>
      </c>
      <c r="F140" s="1">
        <v>9</v>
      </c>
      <c r="G140" t="s">
        <v>402</v>
      </c>
    </row>
    <row r="141" spans="1:7" x14ac:dyDescent="0.25">
      <c r="A141">
        <v>140</v>
      </c>
      <c r="B141" t="s">
        <v>278</v>
      </c>
      <c r="C141" t="s">
        <v>279</v>
      </c>
      <c r="D141">
        <v>46.186</v>
      </c>
      <c r="E141" s="2">
        <v>125</v>
      </c>
      <c r="F141" s="1">
        <v>9</v>
      </c>
      <c r="G141" t="s">
        <v>402</v>
      </c>
    </row>
    <row r="142" spans="1:7" x14ac:dyDescent="0.25">
      <c r="A142">
        <v>141</v>
      </c>
      <c r="B142" t="s">
        <v>280</v>
      </c>
      <c r="C142" t="s">
        <v>281</v>
      </c>
      <c r="D142">
        <v>46.518000000000001</v>
      </c>
      <c r="E142" s="2">
        <v>89</v>
      </c>
      <c r="F142" s="1">
        <v>9</v>
      </c>
      <c r="G142" t="s">
        <v>402</v>
      </c>
    </row>
    <row r="143" spans="1:7" x14ac:dyDescent="0.25">
      <c r="A143">
        <v>142</v>
      </c>
      <c r="B143" t="s">
        <v>282</v>
      </c>
      <c r="C143" t="s">
        <v>283</v>
      </c>
      <c r="D143">
        <v>46.585999999999999</v>
      </c>
      <c r="E143" s="2">
        <v>16</v>
      </c>
      <c r="F143" s="1">
        <v>9</v>
      </c>
      <c r="G143" t="s">
        <v>402</v>
      </c>
    </row>
    <row r="144" spans="1:7" x14ac:dyDescent="0.25">
      <c r="A144">
        <v>143</v>
      </c>
      <c r="B144" t="s">
        <v>284</v>
      </c>
      <c r="C144" t="s">
        <v>285</v>
      </c>
      <c r="D144">
        <v>45.970999999999997</v>
      </c>
      <c r="E144" s="2" t="s">
        <v>438</v>
      </c>
      <c r="F144" s="1">
        <v>7</v>
      </c>
      <c r="G144" t="s">
        <v>397</v>
      </c>
    </row>
    <row r="145" spans="1:8" x14ac:dyDescent="0.25">
      <c r="A145">
        <v>144</v>
      </c>
      <c r="B145" t="s">
        <v>286</v>
      </c>
      <c r="C145" t="s">
        <v>287</v>
      </c>
      <c r="D145">
        <v>45.863</v>
      </c>
      <c r="E145" s="2">
        <v>31</v>
      </c>
      <c r="F145" s="1">
        <v>7</v>
      </c>
      <c r="G145" t="s">
        <v>397</v>
      </c>
    </row>
    <row r="146" spans="1:8" x14ac:dyDescent="0.25">
      <c r="A146">
        <v>145</v>
      </c>
      <c r="B146" t="s">
        <v>288</v>
      </c>
      <c r="C146" t="s">
        <v>289</v>
      </c>
      <c r="D146">
        <v>46.503999999999998</v>
      </c>
      <c r="E146" s="2">
        <v>22</v>
      </c>
      <c r="F146" s="1">
        <v>16</v>
      </c>
      <c r="G146" t="s">
        <v>437</v>
      </c>
    </row>
    <row r="147" spans="1:8" x14ac:dyDescent="0.25">
      <c r="A147">
        <v>146</v>
      </c>
      <c r="B147" t="s">
        <v>290</v>
      </c>
      <c r="C147" t="s">
        <v>291</v>
      </c>
      <c r="D147">
        <v>47.067999999999998</v>
      </c>
      <c r="E147" s="2">
        <v>106</v>
      </c>
      <c r="F147" s="1">
        <v>9</v>
      </c>
      <c r="G147" t="s">
        <v>402</v>
      </c>
    </row>
    <row r="148" spans="1:8" x14ac:dyDescent="0.25">
      <c r="A148">
        <v>147</v>
      </c>
      <c r="B148" t="s">
        <v>292</v>
      </c>
      <c r="C148" t="s">
        <v>293</v>
      </c>
      <c r="D148">
        <v>47.13</v>
      </c>
      <c r="E148" s="2" t="s">
        <v>439</v>
      </c>
      <c r="F148" s="1">
        <v>9</v>
      </c>
      <c r="G148" t="s">
        <v>402</v>
      </c>
    </row>
    <row r="149" spans="1:8" x14ac:dyDescent="0.25">
      <c r="A149">
        <v>148</v>
      </c>
      <c r="B149" t="s">
        <v>294</v>
      </c>
      <c r="C149" t="s">
        <v>295</v>
      </c>
      <c r="D149">
        <v>46.863999999999997</v>
      </c>
      <c r="E149" s="2">
        <v>96</v>
      </c>
      <c r="F149" s="1">
        <v>9</v>
      </c>
      <c r="G149" t="s">
        <v>402</v>
      </c>
    </row>
    <row r="150" spans="1:8" x14ac:dyDescent="0.25">
      <c r="A150">
        <v>149</v>
      </c>
      <c r="B150" t="s">
        <v>296</v>
      </c>
      <c r="C150" t="s">
        <v>297</v>
      </c>
      <c r="D150">
        <v>46.777000000000001</v>
      </c>
      <c r="E150" s="2">
        <v>18</v>
      </c>
      <c r="F150" s="1">
        <v>16</v>
      </c>
      <c r="G150" t="s">
        <v>437</v>
      </c>
    </row>
    <row r="151" spans="1:8" x14ac:dyDescent="0.25">
      <c r="A151">
        <v>150</v>
      </c>
      <c r="B151" t="s">
        <v>298</v>
      </c>
      <c r="C151" t="s">
        <v>299</v>
      </c>
      <c r="D151">
        <v>47.29</v>
      </c>
      <c r="E151" s="2">
        <v>106</v>
      </c>
      <c r="F151" s="1">
        <v>3</v>
      </c>
      <c r="G151" t="s">
        <v>391</v>
      </c>
    </row>
    <row r="152" spans="1:8" x14ac:dyDescent="0.25">
      <c r="A152">
        <v>151</v>
      </c>
      <c r="B152" t="s">
        <v>300</v>
      </c>
      <c r="C152" t="s">
        <v>301</v>
      </c>
      <c r="D152">
        <v>47.264000000000003</v>
      </c>
      <c r="E152" s="2">
        <v>22</v>
      </c>
      <c r="F152" s="1">
        <v>10</v>
      </c>
      <c r="G152" t="s">
        <v>429</v>
      </c>
    </row>
    <row r="153" spans="1:8" x14ac:dyDescent="0.25">
      <c r="A153">
        <v>152</v>
      </c>
      <c r="B153" t="s">
        <v>302</v>
      </c>
      <c r="C153" t="s">
        <v>303</v>
      </c>
      <c r="D153">
        <v>47.761000000000003</v>
      </c>
      <c r="E153" s="2">
        <v>32</v>
      </c>
      <c r="F153" s="1">
        <v>7</v>
      </c>
      <c r="G153" t="s">
        <v>397</v>
      </c>
    </row>
    <row r="154" spans="1:8" x14ac:dyDescent="0.25">
      <c r="A154">
        <v>153</v>
      </c>
      <c r="B154" t="s">
        <v>304</v>
      </c>
      <c r="C154" t="s">
        <v>305</v>
      </c>
      <c r="D154">
        <v>47.625</v>
      </c>
      <c r="E154" s="2" t="s">
        <v>440</v>
      </c>
      <c r="F154" s="1">
        <v>16</v>
      </c>
      <c r="G154" t="s">
        <v>437</v>
      </c>
      <c r="H154" t="s">
        <v>445</v>
      </c>
    </row>
    <row r="155" spans="1:8" x14ac:dyDescent="0.25">
      <c r="A155">
        <v>154</v>
      </c>
      <c r="B155" t="s">
        <v>306</v>
      </c>
      <c r="C155" t="s">
        <v>307</v>
      </c>
      <c r="D155">
        <v>47.817999999999998</v>
      </c>
      <c r="E155" s="2" t="s">
        <v>441</v>
      </c>
      <c r="F155" s="1">
        <v>5</v>
      </c>
      <c r="G155" t="s">
        <v>404</v>
      </c>
    </row>
    <row r="156" spans="1:8" x14ac:dyDescent="0.25">
      <c r="A156">
        <v>155</v>
      </c>
      <c r="B156" t="s">
        <v>308</v>
      </c>
      <c r="C156" t="s">
        <v>309</v>
      </c>
      <c r="D156">
        <v>47.999000000000002</v>
      </c>
      <c r="E156" s="2">
        <v>24</v>
      </c>
      <c r="F156" s="1">
        <v>7</v>
      </c>
      <c r="G156" t="s">
        <v>397</v>
      </c>
    </row>
    <row r="157" spans="1:8" x14ac:dyDescent="0.25">
      <c r="A157">
        <v>156</v>
      </c>
      <c r="B157" t="s">
        <v>310</v>
      </c>
      <c r="C157" t="s">
        <v>311</v>
      </c>
      <c r="D157">
        <v>48.247</v>
      </c>
      <c r="E157" s="2">
        <v>55</v>
      </c>
      <c r="F157" s="1">
        <v>7</v>
      </c>
      <c r="G157" t="s">
        <v>397</v>
      </c>
    </row>
    <row r="158" spans="1:8" x14ac:dyDescent="0.25">
      <c r="A158">
        <v>157</v>
      </c>
      <c r="B158" t="s">
        <v>312</v>
      </c>
      <c r="C158" t="s">
        <v>313</v>
      </c>
      <c r="D158">
        <v>48.021000000000001</v>
      </c>
      <c r="E158" s="2">
        <v>38</v>
      </c>
      <c r="F158" s="1">
        <v>7</v>
      </c>
      <c r="G158" t="s">
        <v>397</v>
      </c>
    </row>
    <row r="159" spans="1:8" x14ac:dyDescent="0.25">
      <c r="A159">
        <v>158</v>
      </c>
      <c r="B159" t="s">
        <v>314</v>
      </c>
      <c r="C159" t="s">
        <v>315</v>
      </c>
      <c r="D159">
        <v>48.076000000000001</v>
      </c>
      <c r="E159" s="2">
        <v>25</v>
      </c>
      <c r="F159" s="1">
        <v>7</v>
      </c>
      <c r="G159" t="s">
        <v>397</v>
      </c>
    </row>
    <row r="160" spans="1:8" x14ac:dyDescent="0.25">
      <c r="A160">
        <v>159</v>
      </c>
      <c r="B160" t="s">
        <v>316</v>
      </c>
      <c r="C160" t="s">
        <v>317</v>
      </c>
      <c r="D160">
        <v>48.021999999999998</v>
      </c>
      <c r="E160" s="2">
        <v>16</v>
      </c>
      <c r="F160" s="1">
        <v>7</v>
      </c>
      <c r="G160" t="s">
        <v>397</v>
      </c>
    </row>
    <row r="161" spans="1:7" x14ac:dyDescent="0.25">
      <c r="A161">
        <v>160</v>
      </c>
      <c r="B161" t="s">
        <v>318</v>
      </c>
      <c r="C161" t="s">
        <v>319</v>
      </c>
      <c r="D161">
        <v>47.97</v>
      </c>
      <c r="E161" s="2">
        <v>14</v>
      </c>
      <c r="F161" s="1">
        <v>7</v>
      </c>
      <c r="G161" t="s">
        <v>397</v>
      </c>
    </row>
    <row r="162" spans="1:7" x14ac:dyDescent="0.25">
      <c r="A162">
        <v>161</v>
      </c>
      <c r="B162" t="s">
        <v>320</v>
      </c>
      <c r="C162" t="s">
        <v>321</v>
      </c>
      <c r="D162">
        <v>47.768000000000001</v>
      </c>
      <c r="E162" s="2">
        <v>42</v>
      </c>
      <c r="F162" s="1">
        <v>7</v>
      </c>
      <c r="G162" t="s">
        <v>397</v>
      </c>
    </row>
    <row r="163" spans="1:7" x14ac:dyDescent="0.25">
      <c r="A163">
        <v>162</v>
      </c>
      <c r="B163" t="s">
        <v>322</v>
      </c>
      <c r="C163" t="s">
        <v>323</v>
      </c>
      <c r="D163">
        <v>46.835999999999999</v>
      </c>
      <c r="E163" s="2" t="s">
        <v>442</v>
      </c>
      <c r="F163" s="1">
        <v>9</v>
      </c>
      <c r="G163" t="s">
        <v>402</v>
      </c>
    </row>
    <row r="164" spans="1:7" x14ac:dyDescent="0.25">
      <c r="A164">
        <v>163</v>
      </c>
      <c r="B164" t="s">
        <v>324</v>
      </c>
      <c r="C164" t="s">
        <v>325</v>
      </c>
      <c r="D164">
        <v>46.454000000000001</v>
      </c>
      <c r="E164" s="2" t="s">
        <v>443</v>
      </c>
      <c r="F164" s="1">
        <v>9</v>
      </c>
      <c r="G164" t="s">
        <v>402</v>
      </c>
    </row>
    <row r="165" spans="1:7" x14ac:dyDescent="0.25">
      <c r="A165">
        <v>164</v>
      </c>
      <c r="B165" t="s">
        <v>326</v>
      </c>
      <c r="C165" t="s">
        <v>327</v>
      </c>
      <c r="D165">
        <v>45.04</v>
      </c>
      <c r="E165" s="2">
        <v>122</v>
      </c>
      <c r="F165" s="1">
        <v>7</v>
      </c>
      <c r="G165" t="s">
        <v>397</v>
      </c>
    </row>
    <row r="166" spans="1:7" x14ac:dyDescent="0.25">
      <c r="A166">
        <v>165</v>
      </c>
      <c r="B166" t="s">
        <v>328</v>
      </c>
      <c r="C166" t="s">
        <v>329</v>
      </c>
      <c r="D166">
        <v>44.912999999999997</v>
      </c>
      <c r="E166" s="2">
        <v>88</v>
      </c>
      <c r="F166" s="1">
        <v>9</v>
      </c>
      <c r="G166" t="s">
        <v>402</v>
      </c>
    </row>
    <row r="167" spans="1:7" x14ac:dyDescent="0.25">
      <c r="A167">
        <v>166</v>
      </c>
      <c r="B167" t="s">
        <v>330</v>
      </c>
      <c r="C167" t="s">
        <v>331</v>
      </c>
      <c r="D167">
        <v>44.456000000000003</v>
      </c>
      <c r="E167" s="2">
        <v>18</v>
      </c>
      <c r="F167" s="1">
        <v>16</v>
      </c>
      <c r="G167" t="s">
        <v>437</v>
      </c>
    </row>
    <row r="168" spans="1:7" x14ac:dyDescent="0.25">
      <c r="A168">
        <v>167</v>
      </c>
      <c r="B168" t="s">
        <v>332</v>
      </c>
      <c r="C168" t="s">
        <v>333</v>
      </c>
      <c r="D168">
        <v>44.667000000000002</v>
      </c>
      <c r="E168" s="2" t="s">
        <v>444</v>
      </c>
      <c r="F168" s="1">
        <v>16</v>
      </c>
      <c r="G168" t="s">
        <v>437</v>
      </c>
    </row>
    <row r="169" spans="1:7" x14ac:dyDescent="0.25">
      <c r="A169">
        <v>168</v>
      </c>
      <c r="B169" t="s">
        <v>334</v>
      </c>
      <c r="C169" t="s">
        <v>335</v>
      </c>
      <c r="D169">
        <v>45.512999999999998</v>
      </c>
      <c r="E169" s="2">
        <v>36</v>
      </c>
      <c r="F169" s="1">
        <v>7</v>
      </c>
      <c r="G169" t="s">
        <v>397</v>
      </c>
    </row>
    <row r="170" spans="1:7" x14ac:dyDescent="0.25">
      <c r="A170">
        <v>169</v>
      </c>
      <c r="B170" t="s">
        <v>336</v>
      </c>
      <c r="C170" t="s">
        <v>337</v>
      </c>
      <c r="D170">
        <v>45.088000000000001</v>
      </c>
      <c r="E170" s="2">
        <v>18</v>
      </c>
      <c r="F170" s="1">
        <v>7</v>
      </c>
      <c r="G170" t="s">
        <v>397</v>
      </c>
    </row>
    <row r="171" spans="1:7" x14ac:dyDescent="0.25">
      <c r="A171">
        <v>170</v>
      </c>
      <c r="B171" t="s">
        <v>338</v>
      </c>
      <c r="C171" t="s">
        <v>339</v>
      </c>
      <c r="D171">
        <v>45.389000000000003</v>
      </c>
      <c r="E171" s="2">
        <v>23</v>
      </c>
      <c r="F171" s="1">
        <v>8</v>
      </c>
      <c r="G171" t="s">
        <v>393</v>
      </c>
    </row>
    <row r="172" spans="1:7" x14ac:dyDescent="0.25">
      <c r="A172">
        <v>171</v>
      </c>
      <c r="B172" t="s">
        <v>340</v>
      </c>
      <c r="C172" t="s">
        <v>341</v>
      </c>
      <c r="D172">
        <v>45.433</v>
      </c>
      <c r="E172" s="2">
        <v>27</v>
      </c>
      <c r="F172" s="1">
        <v>7</v>
      </c>
      <c r="G172" t="s">
        <v>397</v>
      </c>
    </row>
    <row r="173" spans="1:7" x14ac:dyDescent="0.25">
      <c r="A173">
        <v>172</v>
      </c>
      <c r="B173" t="s">
        <v>342</v>
      </c>
      <c r="C173" t="s">
        <v>343</v>
      </c>
      <c r="D173">
        <v>45.125999999999998</v>
      </c>
      <c r="E173" s="2">
        <v>17</v>
      </c>
      <c r="F173" s="1">
        <v>8</v>
      </c>
      <c r="G173" t="s">
        <v>393</v>
      </c>
    </row>
    <row r="174" spans="1:7" x14ac:dyDescent="0.25">
      <c r="A174">
        <v>173</v>
      </c>
      <c r="B174" t="s">
        <v>344</v>
      </c>
      <c r="C174" t="s">
        <v>345</v>
      </c>
      <c r="D174">
        <v>44.921999999999997</v>
      </c>
      <c r="E174" s="2">
        <v>18</v>
      </c>
      <c r="F174" s="1">
        <v>5</v>
      </c>
      <c r="G174" t="s">
        <v>404</v>
      </c>
    </row>
    <row r="175" spans="1:7" x14ac:dyDescent="0.25">
      <c r="A175">
        <v>174</v>
      </c>
      <c r="B175" t="s">
        <v>346</v>
      </c>
      <c r="C175" t="s">
        <v>347</v>
      </c>
      <c r="D175">
        <v>44.887999999999998</v>
      </c>
      <c r="E175" s="2">
        <v>10</v>
      </c>
      <c r="F175" s="1">
        <v>7</v>
      </c>
      <c r="G175" t="s">
        <v>397</v>
      </c>
    </row>
    <row r="176" spans="1:7" x14ac:dyDescent="0.25">
      <c r="A176">
        <v>175</v>
      </c>
      <c r="B176" t="s">
        <v>348</v>
      </c>
      <c r="C176" t="s">
        <v>349</v>
      </c>
      <c r="D176">
        <v>46.113999999999997</v>
      </c>
      <c r="E176" s="2" t="s">
        <v>446</v>
      </c>
      <c r="F176" s="1">
        <v>5</v>
      </c>
      <c r="G176" t="s">
        <v>404</v>
      </c>
    </row>
    <row r="177" spans="1:7" x14ac:dyDescent="0.25">
      <c r="A177">
        <v>176</v>
      </c>
      <c r="B177" t="s">
        <v>350</v>
      </c>
      <c r="C177" t="s">
        <v>351</v>
      </c>
      <c r="D177">
        <v>47.429000000000002</v>
      </c>
      <c r="E177" s="2">
        <v>40</v>
      </c>
      <c r="F177" s="1">
        <v>11</v>
      </c>
      <c r="G177" t="s">
        <v>395</v>
      </c>
    </row>
    <row r="178" spans="1:7" x14ac:dyDescent="0.25">
      <c r="A178">
        <v>177</v>
      </c>
      <c r="B178" t="s">
        <v>352</v>
      </c>
      <c r="C178" t="s">
        <v>353</v>
      </c>
      <c r="D178">
        <v>47.305999999999997</v>
      </c>
      <c r="E178" s="2">
        <v>46</v>
      </c>
      <c r="F178" s="1">
        <v>11</v>
      </c>
      <c r="G178" t="s">
        <v>395</v>
      </c>
    </row>
    <row r="179" spans="1:7" x14ac:dyDescent="0.25">
      <c r="A179">
        <v>178</v>
      </c>
      <c r="B179" t="s">
        <v>354</v>
      </c>
      <c r="C179" t="s">
        <v>355</v>
      </c>
      <c r="D179">
        <v>47.325000000000003</v>
      </c>
      <c r="E179" s="2" t="s">
        <v>447</v>
      </c>
      <c r="F179" s="1">
        <v>11</v>
      </c>
      <c r="G179" t="s">
        <v>395</v>
      </c>
    </row>
    <row r="180" spans="1:7" x14ac:dyDescent="0.25">
      <c r="A180">
        <v>179</v>
      </c>
      <c r="B180" t="s">
        <v>356</v>
      </c>
      <c r="C180" t="s">
        <v>357</v>
      </c>
      <c r="D180">
        <v>47.411000000000001</v>
      </c>
      <c r="E180" s="2">
        <v>47</v>
      </c>
      <c r="F180" s="1">
        <v>11</v>
      </c>
      <c r="G180" t="s">
        <v>395</v>
      </c>
    </row>
    <row r="181" spans="1:7" x14ac:dyDescent="0.25">
      <c r="A181">
        <v>180</v>
      </c>
      <c r="B181" t="s">
        <v>358</v>
      </c>
      <c r="C181" t="s">
        <v>359</v>
      </c>
      <c r="D181">
        <v>47.561</v>
      </c>
      <c r="E181" s="2" t="s">
        <v>448</v>
      </c>
      <c r="F181" s="1">
        <v>11</v>
      </c>
      <c r="G181" t="s">
        <v>395</v>
      </c>
    </row>
    <row r="182" spans="1:7" x14ac:dyDescent="0.25">
      <c r="A182">
        <v>181</v>
      </c>
      <c r="B182" t="s">
        <v>360</v>
      </c>
      <c r="C182" t="s">
        <v>361</v>
      </c>
      <c r="D182">
        <v>47.811999999999998</v>
      </c>
      <c r="E182" s="2" t="s">
        <v>449</v>
      </c>
      <c r="F182" s="1">
        <v>11</v>
      </c>
      <c r="G182" t="s">
        <v>395</v>
      </c>
    </row>
    <row r="183" spans="1:7" x14ac:dyDescent="0.25">
      <c r="A183">
        <v>182</v>
      </c>
      <c r="B183" t="s">
        <v>362</v>
      </c>
      <c r="C183" t="s">
        <v>363</v>
      </c>
      <c r="D183">
        <v>47.485999999999997</v>
      </c>
      <c r="F183" s="1" t="s">
        <v>455</v>
      </c>
      <c r="G183" t="s">
        <v>450</v>
      </c>
    </row>
    <row r="184" spans="1:7" x14ac:dyDescent="0.25">
      <c r="A184">
        <v>183</v>
      </c>
      <c r="B184" t="s">
        <v>364</v>
      </c>
      <c r="C184" t="s">
        <v>365</v>
      </c>
      <c r="D184">
        <v>47.527999999999999</v>
      </c>
      <c r="E184" s="2">
        <v>42</v>
      </c>
      <c r="F184" s="1">
        <v>5</v>
      </c>
      <c r="G184" t="s">
        <v>404</v>
      </c>
    </row>
    <row r="185" spans="1:7" x14ac:dyDescent="0.25">
      <c r="A185">
        <v>184</v>
      </c>
      <c r="B185" t="s">
        <v>366</v>
      </c>
      <c r="C185" t="s">
        <v>367</v>
      </c>
      <c r="D185">
        <v>46.951999999999998</v>
      </c>
      <c r="E185" s="2">
        <v>22</v>
      </c>
      <c r="F185" s="1">
        <v>8</v>
      </c>
      <c r="G185" t="s">
        <v>393</v>
      </c>
    </row>
    <row r="186" spans="1:7" x14ac:dyDescent="0.25">
      <c r="A186">
        <v>185</v>
      </c>
      <c r="B186" t="s">
        <v>368</v>
      </c>
      <c r="C186" t="s">
        <v>369</v>
      </c>
      <c r="D186">
        <v>46.408000000000001</v>
      </c>
      <c r="E186" s="2">
        <v>28</v>
      </c>
      <c r="F186" s="1">
        <v>8</v>
      </c>
      <c r="G186" t="s">
        <v>393</v>
      </c>
    </row>
    <row r="187" spans="1:7" x14ac:dyDescent="0.25">
      <c r="A187">
        <v>186</v>
      </c>
      <c r="B187" t="s">
        <v>370</v>
      </c>
      <c r="C187" t="s">
        <v>371</v>
      </c>
      <c r="D187">
        <v>46.970999999999997</v>
      </c>
      <c r="E187" s="2" t="s">
        <v>451</v>
      </c>
      <c r="F187" s="1">
        <v>5</v>
      </c>
      <c r="G187" t="s">
        <v>404</v>
      </c>
    </row>
    <row r="188" spans="1:7" x14ac:dyDescent="0.25">
      <c r="A188">
        <v>187</v>
      </c>
      <c r="B188" t="s">
        <v>372</v>
      </c>
      <c r="C188" t="s">
        <v>373</v>
      </c>
      <c r="D188">
        <v>47.526000000000003</v>
      </c>
      <c r="E188" s="2" t="s">
        <v>452</v>
      </c>
      <c r="F188" s="1">
        <v>5</v>
      </c>
      <c r="G188" t="s">
        <v>404</v>
      </c>
    </row>
    <row r="189" spans="1:7" x14ac:dyDescent="0.25">
      <c r="A189">
        <v>188</v>
      </c>
      <c r="B189" t="s">
        <v>374</v>
      </c>
      <c r="C189" t="s">
        <v>375</v>
      </c>
      <c r="D189">
        <v>48.357999999999997</v>
      </c>
      <c r="F189" s="1" t="s">
        <v>456</v>
      </c>
      <c r="G189" t="s">
        <v>453</v>
      </c>
    </row>
    <row r="190" spans="1:7" x14ac:dyDescent="0.25">
      <c r="A190">
        <v>189</v>
      </c>
      <c r="B190" t="s">
        <v>376</v>
      </c>
      <c r="C190" t="s">
        <v>377</v>
      </c>
      <c r="D190">
        <v>47.814</v>
      </c>
      <c r="E190" s="2">
        <v>35</v>
      </c>
      <c r="F190" s="1">
        <v>5</v>
      </c>
      <c r="G190" t="s">
        <v>404</v>
      </c>
    </row>
    <row r="191" spans="1:7" x14ac:dyDescent="0.25">
      <c r="A191">
        <v>190</v>
      </c>
      <c r="B191" t="s">
        <v>378</v>
      </c>
      <c r="C191" t="s">
        <v>379</v>
      </c>
      <c r="D191">
        <v>47.707999999999998</v>
      </c>
      <c r="E191" s="2">
        <v>32</v>
      </c>
      <c r="F191" s="1">
        <v>8</v>
      </c>
      <c r="G191" t="s">
        <v>393</v>
      </c>
    </row>
    <row r="192" spans="1:7" x14ac:dyDescent="0.25">
      <c r="A192">
        <v>191</v>
      </c>
      <c r="B192" t="s">
        <v>380</v>
      </c>
      <c r="C192" t="s">
        <v>381</v>
      </c>
      <c r="D192">
        <v>47.445</v>
      </c>
      <c r="E192" s="2">
        <v>18</v>
      </c>
      <c r="F192" s="1">
        <v>8</v>
      </c>
      <c r="G192" t="s">
        <v>393</v>
      </c>
    </row>
    <row r="193" spans="1:7" ht="18.75" x14ac:dyDescent="0.25">
      <c r="A193">
        <v>192</v>
      </c>
      <c r="B193" t="s">
        <v>457</v>
      </c>
      <c r="C193" t="s">
        <v>458</v>
      </c>
      <c r="D193">
        <v>47.973999999999997</v>
      </c>
      <c r="E193" s="2">
        <v>23.34</v>
      </c>
      <c r="F193" s="3">
        <f>VLOOKUP(G193,Лист2!$A$2:$B$26,2,0)</f>
        <v>8</v>
      </c>
      <c r="G193" t="s">
        <v>393</v>
      </c>
    </row>
    <row r="194" spans="1:7" ht="18.75" x14ac:dyDescent="0.25">
      <c r="A194">
        <v>193</v>
      </c>
      <c r="B194" t="s">
        <v>459</v>
      </c>
      <c r="C194" t="s">
        <v>460</v>
      </c>
      <c r="D194">
        <v>47.158999999999999</v>
      </c>
      <c r="E194" s="2" t="s">
        <v>859</v>
      </c>
      <c r="F194" s="3">
        <f>VLOOKUP(G194,Лист2!$A$2:$B$26,2,0)</f>
        <v>8</v>
      </c>
      <c r="G194" t="s">
        <v>393</v>
      </c>
    </row>
    <row r="195" spans="1:7" ht="18.75" x14ac:dyDescent="0.25">
      <c r="A195">
        <v>194</v>
      </c>
      <c r="B195" t="s">
        <v>461</v>
      </c>
      <c r="C195" t="s">
        <v>462</v>
      </c>
      <c r="D195">
        <v>46.665999999999997</v>
      </c>
      <c r="E195" s="2">
        <v>17</v>
      </c>
      <c r="F195" s="3">
        <f>VLOOKUP(G195,Лист2!$A$2:$B$26,2,0)</f>
        <v>18</v>
      </c>
      <c r="G195" t="s">
        <v>863</v>
      </c>
    </row>
    <row r="196" spans="1:7" ht="18.75" x14ac:dyDescent="0.25">
      <c r="A196">
        <v>195</v>
      </c>
      <c r="B196" t="s">
        <v>463</v>
      </c>
      <c r="C196" t="s">
        <v>464</v>
      </c>
      <c r="D196">
        <v>46.302999999999997</v>
      </c>
      <c r="E196" s="2">
        <v>23</v>
      </c>
      <c r="F196" s="3">
        <f>VLOOKUP(G196,Лист2!$A$2:$B$26,2,0)</f>
        <v>15</v>
      </c>
      <c r="G196" t="s">
        <v>422</v>
      </c>
    </row>
    <row r="197" spans="1:7" ht="18.75" x14ac:dyDescent="0.25">
      <c r="A197">
        <v>196</v>
      </c>
      <c r="B197" t="s">
        <v>465</v>
      </c>
      <c r="C197" t="s">
        <v>466</v>
      </c>
      <c r="D197">
        <v>46.036000000000001</v>
      </c>
      <c r="E197" s="2">
        <v>21</v>
      </c>
      <c r="F197" s="3">
        <f>VLOOKUP(G197,Лист2!$A$2:$B$26,2,0)</f>
        <v>15</v>
      </c>
      <c r="G197" t="s">
        <v>422</v>
      </c>
    </row>
    <row r="198" spans="1:7" ht="18.75" x14ac:dyDescent="0.25">
      <c r="A198">
        <v>197</v>
      </c>
      <c r="B198" t="s">
        <v>467</v>
      </c>
      <c r="C198" t="s">
        <v>468</v>
      </c>
      <c r="D198">
        <v>46.353999999999999</v>
      </c>
      <c r="E198" s="2">
        <v>24</v>
      </c>
      <c r="F198" s="3">
        <f>VLOOKUP(G198,Лист2!$A$2:$B$26,2,0)</f>
        <v>16</v>
      </c>
      <c r="G198" t="s">
        <v>437</v>
      </c>
    </row>
    <row r="199" spans="1:7" ht="18.75" x14ac:dyDescent="0.25">
      <c r="A199">
        <v>198</v>
      </c>
      <c r="B199" t="s">
        <v>469</v>
      </c>
      <c r="C199" t="s">
        <v>470</v>
      </c>
      <c r="D199">
        <v>46.103999999999999</v>
      </c>
      <c r="E199" s="2" t="s">
        <v>860</v>
      </c>
      <c r="F199" s="3">
        <f>VLOOKUP(G199,Лист2!$A$2:$B$26,2,0)</f>
        <v>18</v>
      </c>
      <c r="G199" t="s">
        <v>863</v>
      </c>
    </row>
    <row r="200" spans="1:7" ht="18.75" x14ac:dyDescent="0.25">
      <c r="A200">
        <v>199</v>
      </c>
      <c r="B200" t="s">
        <v>471</v>
      </c>
      <c r="C200" t="s">
        <v>472</v>
      </c>
      <c r="D200">
        <v>45.494999999999997</v>
      </c>
      <c r="E200" s="2" t="s">
        <v>861</v>
      </c>
      <c r="F200" s="3">
        <f>VLOOKUP(G200,Лист2!$A$2:$B$26,2,0)</f>
        <v>5</v>
      </c>
      <c r="G200" t="s">
        <v>404</v>
      </c>
    </row>
    <row r="201" spans="1:7" ht="18.75" x14ac:dyDescent="0.25">
      <c r="A201">
        <v>200</v>
      </c>
      <c r="B201" t="s">
        <v>473</v>
      </c>
      <c r="C201" t="s">
        <v>474</v>
      </c>
      <c r="D201">
        <v>46.533000000000001</v>
      </c>
      <c r="E201" s="2">
        <v>19</v>
      </c>
      <c r="F201" s="3">
        <f>VLOOKUP(G201,Лист2!$A$2:$B$26,2,0)</f>
        <v>10</v>
      </c>
      <c r="G201" t="s">
        <v>429</v>
      </c>
    </row>
    <row r="202" spans="1:7" ht="18.75" x14ac:dyDescent="0.25">
      <c r="A202">
        <v>201</v>
      </c>
      <c r="B202" t="s">
        <v>475</v>
      </c>
      <c r="C202" t="s">
        <v>476</v>
      </c>
      <c r="D202">
        <v>44.469000000000001</v>
      </c>
      <c r="E202" s="2">
        <v>30</v>
      </c>
      <c r="F202" s="3">
        <f>VLOOKUP(G202,Лист2!$A$2:$B$26,2,0)</f>
        <v>5</v>
      </c>
      <c r="G202" t="s">
        <v>404</v>
      </c>
    </row>
    <row r="203" spans="1:7" ht="18.75" x14ac:dyDescent="0.25">
      <c r="A203">
        <v>202</v>
      </c>
      <c r="B203" t="s">
        <v>477</v>
      </c>
      <c r="C203" t="s">
        <v>478</v>
      </c>
      <c r="D203">
        <v>45.640999999999998</v>
      </c>
      <c r="E203" s="2">
        <v>166</v>
      </c>
      <c r="F203" s="3">
        <f>VLOOKUP(G203,Лист2!$A$2:$B$26,2,0)</f>
        <v>2</v>
      </c>
      <c r="G203" t="s">
        <v>396</v>
      </c>
    </row>
    <row r="204" spans="1:7" ht="18.75" x14ac:dyDescent="0.25">
      <c r="A204">
        <v>203</v>
      </c>
      <c r="B204" t="s">
        <v>479</v>
      </c>
      <c r="C204" t="s">
        <v>480</v>
      </c>
      <c r="D204">
        <v>45.631</v>
      </c>
      <c r="E204" s="2">
        <v>17</v>
      </c>
      <c r="F204" s="3">
        <f>VLOOKUP(G204,Лист2!$A$2:$B$26,2,0)</f>
        <v>7</v>
      </c>
      <c r="G204" t="s">
        <v>397</v>
      </c>
    </row>
    <row r="205" spans="1:7" ht="18.75" x14ac:dyDescent="0.25">
      <c r="A205">
        <v>204</v>
      </c>
      <c r="B205" t="s">
        <v>481</v>
      </c>
      <c r="C205" t="s">
        <v>482</v>
      </c>
      <c r="D205">
        <v>45.695</v>
      </c>
      <c r="E205" s="2">
        <v>13</v>
      </c>
      <c r="F205" s="3">
        <f>VLOOKUP(G205,Лист2!$A$2:$B$26,2,0)</f>
        <v>7</v>
      </c>
      <c r="G205" t="s">
        <v>397</v>
      </c>
    </row>
    <row r="206" spans="1:7" ht="18.75" x14ac:dyDescent="0.25">
      <c r="A206">
        <v>205</v>
      </c>
      <c r="B206" t="s">
        <v>483</v>
      </c>
      <c r="C206" t="s">
        <v>484</v>
      </c>
      <c r="D206">
        <v>45.716000000000001</v>
      </c>
      <c r="E206" s="2">
        <v>12</v>
      </c>
      <c r="F206" s="3">
        <f>VLOOKUP(G206,Лист2!$A$2:$B$26,2,0)</f>
        <v>7</v>
      </c>
      <c r="G206" t="s">
        <v>397</v>
      </c>
    </row>
    <row r="207" spans="1:7" ht="18.75" x14ac:dyDescent="0.25">
      <c r="A207">
        <v>206</v>
      </c>
      <c r="B207" t="s">
        <v>485</v>
      </c>
      <c r="C207" t="s">
        <v>486</v>
      </c>
      <c r="D207">
        <v>45.978999999999999</v>
      </c>
      <c r="E207" s="2">
        <v>12</v>
      </c>
      <c r="F207" s="3">
        <f>VLOOKUP(G207,Лист2!$A$2:$B$26,2,0)</f>
        <v>7</v>
      </c>
      <c r="G207" t="s">
        <v>397</v>
      </c>
    </row>
    <row r="208" spans="1:7" ht="18.75" x14ac:dyDescent="0.25">
      <c r="A208">
        <v>207</v>
      </c>
      <c r="B208" t="s">
        <v>487</v>
      </c>
      <c r="C208" t="s">
        <v>488</v>
      </c>
      <c r="D208">
        <v>44.793999999999997</v>
      </c>
      <c r="E208" s="2">
        <v>34</v>
      </c>
      <c r="F208" s="3">
        <f>VLOOKUP(G208,Лист2!$A$2:$B$26,2,0)</f>
        <v>5</v>
      </c>
      <c r="G208" t="s">
        <v>404</v>
      </c>
    </row>
    <row r="209" spans="1:7" ht="18.75" x14ac:dyDescent="0.25">
      <c r="A209">
        <v>208</v>
      </c>
      <c r="B209" t="s">
        <v>489</v>
      </c>
      <c r="C209" t="s">
        <v>490</v>
      </c>
      <c r="D209">
        <v>44.332000000000001</v>
      </c>
      <c r="E209" s="2">
        <v>19</v>
      </c>
      <c r="F209" s="3">
        <f>VLOOKUP(G209,Лист2!$A$2:$B$26,2,0)</f>
        <v>16</v>
      </c>
      <c r="G209" t="s">
        <v>437</v>
      </c>
    </row>
    <row r="210" spans="1:7" ht="18.75" x14ac:dyDescent="0.25">
      <c r="A210">
        <v>209</v>
      </c>
      <c r="B210" t="s">
        <v>491</v>
      </c>
      <c r="C210" t="s">
        <v>492</v>
      </c>
      <c r="D210">
        <v>44.715000000000003</v>
      </c>
      <c r="E210" s="2">
        <v>31</v>
      </c>
      <c r="F210" s="3">
        <f>VLOOKUP(G210,Лист2!$A$2:$B$26,2,0)</f>
        <v>7</v>
      </c>
      <c r="G210" t="s">
        <v>397</v>
      </c>
    </row>
    <row r="211" spans="1:7" ht="18.75" x14ac:dyDescent="0.25">
      <c r="A211">
        <v>210</v>
      </c>
      <c r="B211" t="s">
        <v>493</v>
      </c>
      <c r="C211" t="s">
        <v>494</v>
      </c>
      <c r="D211">
        <v>44.744</v>
      </c>
      <c r="E211" s="2">
        <v>14</v>
      </c>
      <c r="F211" s="3">
        <f>VLOOKUP(G211,Лист2!$A$2:$B$26,2,0)</f>
        <v>7</v>
      </c>
      <c r="G211" t="s">
        <v>397</v>
      </c>
    </row>
    <row r="212" spans="1:7" ht="18.75" x14ac:dyDescent="0.25">
      <c r="A212">
        <v>211</v>
      </c>
      <c r="B212" t="s">
        <v>495</v>
      </c>
      <c r="C212" t="s">
        <v>496</v>
      </c>
      <c r="D212">
        <v>44.395000000000003</v>
      </c>
      <c r="E212" s="2">
        <v>42.43</v>
      </c>
      <c r="F212" s="3">
        <f>VLOOKUP(G212,Лист2!$A$2:$B$26,2,0)</f>
        <v>15</v>
      </c>
      <c r="G212" t="s">
        <v>422</v>
      </c>
    </row>
    <row r="213" spans="1:7" ht="18.75" x14ac:dyDescent="0.25">
      <c r="A213">
        <v>212</v>
      </c>
      <c r="B213" t="s">
        <v>497</v>
      </c>
      <c r="C213" t="s">
        <v>498</v>
      </c>
      <c r="D213">
        <v>43.923000000000002</v>
      </c>
      <c r="E213" s="2">
        <v>18</v>
      </c>
      <c r="F213" s="3">
        <f>VLOOKUP(G213,Лист2!$A$2:$B$26,2,0)</f>
        <v>7</v>
      </c>
      <c r="G213" t="s">
        <v>397</v>
      </c>
    </row>
    <row r="214" spans="1:7" ht="18.75" x14ac:dyDescent="0.25">
      <c r="A214">
        <v>213</v>
      </c>
      <c r="B214" t="s">
        <v>499</v>
      </c>
      <c r="C214" t="s">
        <v>500</v>
      </c>
      <c r="D214">
        <v>43.194000000000003</v>
      </c>
      <c r="E214" s="2">
        <v>12</v>
      </c>
      <c r="F214" s="3">
        <f>VLOOKUP(G214,Лист2!$A$2:$B$26,2,0)</f>
        <v>7</v>
      </c>
      <c r="G214" t="s">
        <v>397</v>
      </c>
    </row>
    <row r="215" spans="1:7" ht="18.75" x14ac:dyDescent="0.25">
      <c r="A215">
        <v>214</v>
      </c>
      <c r="B215" t="s">
        <v>501</v>
      </c>
      <c r="C215" t="s">
        <v>502</v>
      </c>
      <c r="D215">
        <v>47.857999999999997</v>
      </c>
      <c r="E215" s="2">
        <v>124</v>
      </c>
      <c r="F215" s="3">
        <f>VLOOKUP(G215,Лист2!$A$2:$B$26,2,0)</f>
        <v>2</v>
      </c>
      <c r="G215" t="s">
        <v>396</v>
      </c>
    </row>
    <row r="216" spans="1:7" ht="18.75" x14ac:dyDescent="0.25">
      <c r="A216">
        <v>215</v>
      </c>
      <c r="B216" t="s">
        <v>503</v>
      </c>
      <c r="C216" t="s">
        <v>504</v>
      </c>
      <c r="D216">
        <v>47.829000000000001</v>
      </c>
      <c r="E216" s="2">
        <v>20</v>
      </c>
      <c r="F216" s="3">
        <f>VLOOKUP(G216,Лист2!$A$2:$B$26,2,0)</f>
        <v>8</v>
      </c>
      <c r="G216" t="s">
        <v>393</v>
      </c>
    </row>
    <row r="217" spans="1:7" ht="18.75" x14ac:dyDescent="0.25">
      <c r="A217">
        <v>216</v>
      </c>
      <c r="B217" t="s">
        <v>505</v>
      </c>
      <c r="C217" t="s">
        <v>506</v>
      </c>
      <c r="D217">
        <v>48.064999999999998</v>
      </c>
      <c r="E217" s="2">
        <v>21.19</v>
      </c>
      <c r="F217" s="3">
        <f>VLOOKUP(G217,Лист2!$A$2:$B$26,2,0)</f>
        <v>6</v>
      </c>
      <c r="G217" t="s">
        <v>430</v>
      </c>
    </row>
    <row r="218" spans="1:7" ht="18.75" x14ac:dyDescent="0.25">
      <c r="A218">
        <v>217</v>
      </c>
      <c r="B218" t="s">
        <v>507</v>
      </c>
      <c r="C218" t="s">
        <v>508</v>
      </c>
      <c r="D218">
        <v>48.03</v>
      </c>
      <c r="E218" s="2">
        <v>60</v>
      </c>
      <c r="F218" s="3">
        <f>VLOOKUP(G218,Лист2!$A$2:$B$26,2,0)</f>
        <v>5</v>
      </c>
      <c r="G218" t="s">
        <v>404</v>
      </c>
    </row>
    <row r="219" spans="1:7" ht="18.75" x14ac:dyDescent="0.25">
      <c r="A219">
        <v>218</v>
      </c>
      <c r="B219" t="s">
        <v>509</v>
      </c>
      <c r="C219" t="s">
        <v>510</v>
      </c>
      <c r="D219">
        <v>48.119</v>
      </c>
      <c r="E219" s="2">
        <v>62.32</v>
      </c>
      <c r="F219" s="3">
        <f>VLOOKUP(G219,Лист2!$A$2:$B$26,2,0)</f>
        <v>5</v>
      </c>
      <c r="G219" t="s">
        <v>404</v>
      </c>
    </row>
    <row r="220" spans="1:7" ht="18.75" x14ac:dyDescent="0.25">
      <c r="A220">
        <v>219</v>
      </c>
      <c r="B220" t="s">
        <v>511</v>
      </c>
      <c r="C220" t="s">
        <v>512</v>
      </c>
      <c r="D220">
        <v>48.155999999999999</v>
      </c>
      <c r="E220" s="2">
        <v>18.190000000000001</v>
      </c>
      <c r="F220" s="3">
        <f>VLOOKUP(G220,Лист2!$A$2:$B$26,2,0)</f>
        <v>6</v>
      </c>
      <c r="G220" t="s">
        <v>430</v>
      </c>
    </row>
    <row r="221" spans="1:7" ht="18.75" x14ac:dyDescent="0.25">
      <c r="A221">
        <v>220</v>
      </c>
      <c r="B221" t="s">
        <v>513</v>
      </c>
      <c r="C221" t="s">
        <v>514</v>
      </c>
      <c r="D221">
        <v>47.594999999999999</v>
      </c>
      <c r="E221" s="2">
        <v>61</v>
      </c>
      <c r="F221" s="3">
        <f>VLOOKUP(G221,Лист2!$A$2:$B$26,2,0)</f>
        <v>5</v>
      </c>
      <c r="G221" t="s">
        <v>404</v>
      </c>
    </row>
    <row r="222" spans="1:7" ht="18.75" x14ac:dyDescent="0.25">
      <c r="A222">
        <v>221</v>
      </c>
      <c r="B222" t="s">
        <v>515</v>
      </c>
      <c r="C222" t="s">
        <v>516</v>
      </c>
      <c r="D222">
        <v>47.404000000000003</v>
      </c>
      <c r="E222" s="2">
        <v>31</v>
      </c>
      <c r="F222" s="3">
        <f>VLOOKUP(G222,Лист2!$A$2:$B$26,2,0)</f>
        <v>15</v>
      </c>
      <c r="G222" t="s">
        <v>422</v>
      </c>
    </row>
    <row r="223" spans="1:7" ht="18.75" x14ac:dyDescent="0.25">
      <c r="A223">
        <v>222</v>
      </c>
      <c r="B223" t="s">
        <v>517</v>
      </c>
      <c r="C223" t="s">
        <v>518</v>
      </c>
      <c r="D223">
        <v>47.768999999999998</v>
      </c>
      <c r="E223" s="2" t="s">
        <v>862</v>
      </c>
      <c r="F223" s="3">
        <f>VLOOKUP(G223,Лист2!$A$2:$B$26,2,0)</f>
        <v>15</v>
      </c>
      <c r="G223" t="s">
        <v>422</v>
      </c>
    </row>
    <row r="224" spans="1:7" ht="18.75" x14ac:dyDescent="0.25">
      <c r="A224">
        <v>223</v>
      </c>
      <c r="B224" t="s">
        <v>519</v>
      </c>
      <c r="C224" t="s">
        <v>520</v>
      </c>
      <c r="D224">
        <v>47.481000000000002</v>
      </c>
      <c r="E224" s="2">
        <v>68</v>
      </c>
      <c r="F224" s="3">
        <f>VLOOKUP(G224,Лист2!$A$2:$B$26,2,0)</f>
        <v>5</v>
      </c>
      <c r="G224" t="s">
        <v>404</v>
      </c>
    </row>
    <row r="225" spans="1:7" ht="18.75" x14ac:dyDescent="0.25">
      <c r="A225">
        <v>224</v>
      </c>
      <c r="B225" t="s">
        <v>521</v>
      </c>
      <c r="C225" t="s">
        <v>522</v>
      </c>
      <c r="D225">
        <v>47.15</v>
      </c>
      <c r="E225" s="2">
        <v>49.18</v>
      </c>
      <c r="F225" s="3">
        <f>VLOOKUP(G225,Лист2!$A$2:$B$26,2,0)</f>
        <v>5</v>
      </c>
      <c r="G225" t="s">
        <v>404</v>
      </c>
    </row>
    <row r="226" spans="1:7" ht="18.75" x14ac:dyDescent="0.25">
      <c r="A226">
        <v>225</v>
      </c>
      <c r="B226" t="s">
        <v>523</v>
      </c>
      <c r="C226" t="s">
        <v>524</v>
      </c>
      <c r="D226">
        <v>47.308</v>
      </c>
      <c r="E226" s="2">
        <v>38</v>
      </c>
      <c r="F226" s="3">
        <f>VLOOKUP(G226,Лист2!$A$2:$B$26,2,0)</f>
        <v>2</v>
      </c>
      <c r="G226" t="s">
        <v>396</v>
      </c>
    </row>
    <row r="227" spans="1:7" ht="18.75" x14ac:dyDescent="0.25">
      <c r="A227">
        <v>226</v>
      </c>
      <c r="B227" t="s">
        <v>525</v>
      </c>
      <c r="C227" t="s">
        <v>526</v>
      </c>
      <c r="D227">
        <v>47.048999999999999</v>
      </c>
      <c r="E227" s="2">
        <v>45</v>
      </c>
      <c r="F227" s="3">
        <f>VLOOKUP(G227,Лист2!$A$2:$B$26,2,0)</f>
        <v>2</v>
      </c>
      <c r="G227" t="s">
        <v>396</v>
      </c>
    </row>
    <row r="228" spans="1:7" ht="18.75" x14ac:dyDescent="0.25">
      <c r="A228">
        <v>227</v>
      </c>
      <c r="B228" t="s">
        <v>527</v>
      </c>
      <c r="C228" t="s">
        <v>528</v>
      </c>
      <c r="D228">
        <v>46.959000000000003</v>
      </c>
      <c r="E228" s="2">
        <v>37</v>
      </c>
      <c r="F228" s="3">
        <f>VLOOKUP(G228,Лист2!$A$2:$B$26,2,0)</f>
        <v>2</v>
      </c>
      <c r="G228" t="s">
        <v>396</v>
      </c>
    </row>
    <row r="229" spans="1:7" ht="18.75" x14ac:dyDescent="0.25">
      <c r="A229">
        <v>228</v>
      </c>
      <c r="B229" t="s">
        <v>529</v>
      </c>
      <c r="C229" t="s">
        <v>530</v>
      </c>
      <c r="D229">
        <v>46.296999999999997</v>
      </c>
      <c r="E229" s="2">
        <v>95</v>
      </c>
      <c r="F229" s="3">
        <f>VLOOKUP(G229,Лист2!$A$2:$B$26,2,0)</f>
        <v>9</v>
      </c>
      <c r="G229" t="s">
        <v>402</v>
      </c>
    </row>
    <row r="230" spans="1:7" ht="18.75" x14ac:dyDescent="0.25">
      <c r="A230">
        <v>229</v>
      </c>
      <c r="B230" t="s">
        <v>531</v>
      </c>
      <c r="C230" t="s">
        <v>532</v>
      </c>
      <c r="D230">
        <v>46.869</v>
      </c>
      <c r="E230" s="2">
        <v>109</v>
      </c>
      <c r="F230" s="3">
        <f>VLOOKUP(G230,Лист2!$A$2:$B$26,2,0)</f>
        <v>9</v>
      </c>
      <c r="G230" t="s">
        <v>402</v>
      </c>
    </row>
    <row r="231" spans="1:7" ht="18.75" x14ac:dyDescent="0.25">
      <c r="A231">
        <v>230</v>
      </c>
      <c r="B231" t="s">
        <v>533</v>
      </c>
      <c r="C231" t="s">
        <v>534</v>
      </c>
      <c r="D231">
        <v>46.896000000000001</v>
      </c>
      <c r="E231" s="2">
        <v>19.100000000000001</v>
      </c>
      <c r="F231" s="3">
        <f>VLOOKUP(G231,Лист2!$A$2:$B$26,2,0)</f>
        <v>6</v>
      </c>
      <c r="G231" t="s">
        <v>430</v>
      </c>
    </row>
    <row r="232" spans="1:7" ht="18.75" x14ac:dyDescent="0.25">
      <c r="A232">
        <v>231</v>
      </c>
      <c r="B232" t="s">
        <v>535</v>
      </c>
      <c r="C232" t="s">
        <v>536</v>
      </c>
      <c r="D232">
        <v>46.582999999999998</v>
      </c>
      <c r="E232" s="2" t="s">
        <v>864</v>
      </c>
      <c r="F232" s="3">
        <f>VLOOKUP(G232,Лист2!$A$2:$B$26,2,0)</f>
        <v>18</v>
      </c>
      <c r="G232" t="s">
        <v>863</v>
      </c>
    </row>
    <row r="233" spans="1:7" ht="18.75" x14ac:dyDescent="0.25">
      <c r="A233">
        <v>232</v>
      </c>
      <c r="B233" t="s">
        <v>537</v>
      </c>
      <c r="C233" t="s">
        <v>538</v>
      </c>
      <c r="D233">
        <v>46.488</v>
      </c>
      <c r="E233" s="2">
        <v>21</v>
      </c>
      <c r="F233" s="3">
        <f>VLOOKUP(G233,Лист2!$A$2:$B$26,2,0)</f>
        <v>18</v>
      </c>
      <c r="G233" t="s">
        <v>863</v>
      </c>
    </row>
    <row r="234" spans="1:7" ht="18.75" x14ac:dyDescent="0.25">
      <c r="A234">
        <v>233</v>
      </c>
      <c r="B234" t="s">
        <v>539</v>
      </c>
      <c r="C234" t="s">
        <v>540</v>
      </c>
      <c r="D234">
        <v>45.331000000000003</v>
      </c>
      <c r="E234" s="2">
        <v>25</v>
      </c>
      <c r="F234" s="3">
        <f>VLOOKUP(G234,Лист2!$A$2:$B$26,2,0)</f>
        <v>19</v>
      </c>
      <c r="G234" t="s">
        <v>883</v>
      </c>
    </row>
    <row r="235" spans="1:7" ht="18.75" x14ac:dyDescent="0.25">
      <c r="A235">
        <v>234</v>
      </c>
      <c r="B235" t="s">
        <v>541</v>
      </c>
      <c r="C235" t="s">
        <v>542</v>
      </c>
      <c r="D235">
        <v>44.96</v>
      </c>
      <c r="E235" s="2">
        <v>12.5</v>
      </c>
      <c r="F235" s="3">
        <f>VLOOKUP(G235,Лист2!$A$2:$B$26,2,0)</f>
        <v>10</v>
      </c>
      <c r="G235" t="s">
        <v>429</v>
      </c>
    </row>
    <row r="236" spans="1:7" ht="18.75" x14ac:dyDescent="0.25">
      <c r="A236">
        <v>235</v>
      </c>
      <c r="B236" t="s">
        <v>543</v>
      </c>
      <c r="C236" t="s">
        <v>544</v>
      </c>
      <c r="D236">
        <v>45.21</v>
      </c>
      <c r="E236" s="2" t="s">
        <v>865</v>
      </c>
      <c r="F236" s="3">
        <f>VLOOKUP(G236,Лист2!$A$2:$B$26,2,0)</f>
        <v>2</v>
      </c>
      <c r="G236" t="s">
        <v>396</v>
      </c>
    </row>
    <row r="237" spans="1:7" ht="18.75" x14ac:dyDescent="0.25">
      <c r="A237">
        <v>236</v>
      </c>
      <c r="B237" t="s">
        <v>545</v>
      </c>
      <c r="C237" t="s">
        <v>546</v>
      </c>
      <c r="D237">
        <v>45.168999999999997</v>
      </c>
      <c r="E237" s="2">
        <v>28.49</v>
      </c>
      <c r="F237" s="3">
        <f>VLOOKUP(G237,Лист2!$A$2:$B$26,2,0)</f>
        <v>2</v>
      </c>
      <c r="G237" t="s">
        <v>396</v>
      </c>
    </row>
    <row r="238" spans="1:7" ht="18.75" x14ac:dyDescent="0.25">
      <c r="A238">
        <v>237</v>
      </c>
      <c r="B238" t="s">
        <v>547</v>
      </c>
      <c r="C238" t="s">
        <v>548</v>
      </c>
      <c r="D238">
        <v>46.107999999999997</v>
      </c>
      <c r="E238" s="2" t="s">
        <v>866</v>
      </c>
      <c r="F238" s="3">
        <f>VLOOKUP(G238,Лист2!$A$2:$B$26,2,0)</f>
        <v>3</v>
      </c>
      <c r="G238" t="s">
        <v>391</v>
      </c>
    </row>
    <row r="239" spans="1:7" ht="18.75" x14ac:dyDescent="0.25">
      <c r="A239">
        <v>238</v>
      </c>
      <c r="B239" t="s">
        <v>549</v>
      </c>
      <c r="C239" t="s">
        <v>550</v>
      </c>
      <c r="D239">
        <v>45.109000000000002</v>
      </c>
      <c r="E239" s="2">
        <v>26.48</v>
      </c>
      <c r="F239" s="3">
        <f>VLOOKUP(G239,Лист2!$A$2:$B$26,2,0)</f>
        <v>18</v>
      </c>
      <c r="G239" t="s">
        <v>863</v>
      </c>
    </row>
    <row r="240" spans="1:7" ht="18.75" x14ac:dyDescent="0.25">
      <c r="A240">
        <v>239</v>
      </c>
      <c r="B240" t="s">
        <v>551</v>
      </c>
      <c r="C240" t="s">
        <v>552</v>
      </c>
      <c r="D240">
        <v>45.183</v>
      </c>
      <c r="E240" s="2">
        <v>49</v>
      </c>
      <c r="F240" s="3">
        <f>VLOOKUP(G240,Лист2!$A$2:$B$26,2,0)</f>
        <v>18</v>
      </c>
      <c r="G240" t="s">
        <v>863</v>
      </c>
    </row>
    <row r="241" spans="1:7" ht="18.75" x14ac:dyDescent="0.25">
      <c r="A241">
        <v>240</v>
      </c>
      <c r="B241" t="s">
        <v>553</v>
      </c>
      <c r="C241" t="s">
        <v>554</v>
      </c>
      <c r="D241">
        <v>44.848999999999997</v>
      </c>
      <c r="E241" s="2" t="s">
        <v>867</v>
      </c>
      <c r="F241" s="3">
        <f>VLOOKUP(G241,Лист2!$A$2:$B$26,2,0)</f>
        <v>7</v>
      </c>
      <c r="G241" t="s">
        <v>397</v>
      </c>
    </row>
    <row r="242" spans="1:7" ht="18.75" x14ac:dyDescent="0.25">
      <c r="A242">
        <v>241</v>
      </c>
      <c r="B242" t="s">
        <v>555</v>
      </c>
      <c r="C242" t="s">
        <v>556</v>
      </c>
      <c r="D242">
        <v>45.018999999999998</v>
      </c>
      <c r="E242" s="2">
        <v>16.5</v>
      </c>
      <c r="F242" s="3">
        <f>VLOOKUP(G242,Лист2!$A$2:$B$26,2,0)</f>
        <v>20</v>
      </c>
      <c r="G242" t="s">
        <v>884</v>
      </c>
    </row>
    <row r="243" spans="1:7" ht="18.75" x14ac:dyDescent="0.25">
      <c r="A243">
        <v>242</v>
      </c>
      <c r="B243" t="s">
        <v>557</v>
      </c>
      <c r="C243" t="s">
        <v>558</v>
      </c>
      <c r="D243">
        <v>45.267000000000003</v>
      </c>
      <c r="E243" s="2" t="s">
        <v>868</v>
      </c>
      <c r="F243" s="3">
        <f>VLOOKUP(G243,Лист2!$A$2:$B$26,2,0)</f>
        <v>18</v>
      </c>
      <c r="G243" t="s">
        <v>863</v>
      </c>
    </row>
    <row r="244" spans="1:7" ht="18.75" x14ac:dyDescent="0.25">
      <c r="A244">
        <v>243</v>
      </c>
      <c r="B244" t="s">
        <v>559</v>
      </c>
      <c r="C244" t="s">
        <v>560</v>
      </c>
      <c r="D244">
        <v>45.478999999999999</v>
      </c>
      <c r="E244" s="2" t="s">
        <v>869</v>
      </c>
      <c r="F244" s="3">
        <f>VLOOKUP(G244,Лист2!$A$2:$B$26,2,0)</f>
        <v>18</v>
      </c>
      <c r="G244" t="s">
        <v>863</v>
      </c>
    </row>
    <row r="245" spans="1:7" ht="18.75" x14ac:dyDescent="0.25">
      <c r="A245">
        <v>244</v>
      </c>
      <c r="B245" t="s">
        <v>561</v>
      </c>
      <c r="C245" t="s">
        <v>562</v>
      </c>
      <c r="D245">
        <v>44.887999999999998</v>
      </c>
      <c r="E245" s="2" t="s">
        <v>870</v>
      </c>
      <c r="F245" s="3">
        <f>VLOOKUP(G245,Лист2!$A$2:$B$26,2,0)</f>
        <v>18</v>
      </c>
      <c r="G245" t="s">
        <v>863</v>
      </c>
    </row>
    <row r="246" spans="1:7" ht="18.75" x14ac:dyDescent="0.25">
      <c r="A246">
        <v>245</v>
      </c>
      <c r="B246" t="s">
        <v>563</v>
      </c>
      <c r="C246" t="s">
        <v>564</v>
      </c>
      <c r="D246">
        <v>44.890999999999998</v>
      </c>
      <c r="E246" s="2" t="s">
        <v>871</v>
      </c>
      <c r="F246" s="3">
        <f>VLOOKUP(G246,Лист2!$A$2:$B$26,2,0)</f>
        <v>7</v>
      </c>
      <c r="G246" t="s">
        <v>397</v>
      </c>
    </row>
    <row r="247" spans="1:7" ht="18.75" x14ac:dyDescent="0.25">
      <c r="A247">
        <v>246</v>
      </c>
      <c r="B247" t="s">
        <v>565</v>
      </c>
      <c r="C247" t="s">
        <v>566</v>
      </c>
      <c r="D247">
        <v>45.103000000000002</v>
      </c>
      <c r="E247" s="2" t="s">
        <v>872</v>
      </c>
      <c r="F247" s="3">
        <f>VLOOKUP(G247,Лист2!$A$2:$B$26,2,0)</f>
        <v>7</v>
      </c>
      <c r="G247" t="s">
        <v>397</v>
      </c>
    </row>
    <row r="248" spans="1:7" ht="18.75" x14ac:dyDescent="0.25">
      <c r="A248">
        <v>247</v>
      </c>
      <c r="B248" t="s">
        <v>567</v>
      </c>
      <c r="C248" t="s">
        <v>568</v>
      </c>
      <c r="D248">
        <v>44.366999999999997</v>
      </c>
      <c r="E248" s="2" t="s">
        <v>873</v>
      </c>
      <c r="F248" s="3">
        <f>VLOOKUP(G248,Лист2!$A$2:$B$26,2,0)</f>
        <v>2</v>
      </c>
      <c r="G248" t="s">
        <v>396</v>
      </c>
    </row>
    <row r="249" spans="1:7" ht="18.75" x14ac:dyDescent="0.25">
      <c r="A249">
        <v>248</v>
      </c>
      <c r="B249" t="s">
        <v>569</v>
      </c>
      <c r="C249" t="s">
        <v>570</v>
      </c>
      <c r="D249">
        <v>43.82</v>
      </c>
      <c r="E249" s="2" t="s">
        <v>871</v>
      </c>
      <c r="F249" s="3">
        <f>VLOOKUP(G249,Лист2!$A$2:$B$26,2,0)</f>
        <v>2</v>
      </c>
      <c r="G249" t="s">
        <v>396</v>
      </c>
    </row>
    <row r="250" spans="1:7" ht="18.75" x14ac:dyDescent="0.25">
      <c r="A250">
        <v>249</v>
      </c>
      <c r="B250" t="s">
        <v>571</v>
      </c>
      <c r="C250" t="s">
        <v>572</v>
      </c>
      <c r="D250">
        <v>44.207000000000001</v>
      </c>
      <c r="E250" s="2" t="s">
        <v>874</v>
      </c>
      <c r="F250" s="3">
        <f>VLOOKUP(G250,Лист2!$A$2:$B$26,2,0)</f>
        <v>15</v>
      </c>
      <c r="G250" t="s">
        <v>422</v>
      </c>
    </row>
    <row r="251" spans="1:7" ht="18.75" x14ac:dyDescent="0.25">
      <c r="A251">
        <v>250</v>
      </c>
      <c r="B251" t="s">
        <v>573</v>
      </c>
      <c r="C251" t="s">
        <v>574</v>
      </c>
      <c r="D251">
        <v>43.887999999999998</v>
      </c>
      <c r="E251" s="2" t="s">
        <v>875</v>
      </c>
      <c r="F251" s="3">
        <f>VLOOKUP(G251,Лист2!$A$2:$B$26,2,0)</f>
        <v>7</v>
      </c>
      <c r="G251" t="s">
        <v>397</v>
      </c>
    </row>
    <row r="252" spans="1:7" ht="18.75" x14ac:dyDescent="0.25">
      <c r="A252">
        <v>251</v>
      </c>
      <c r="B252" t="s">
        <v>575</v>
      </c>
      <c r="C252" t="s">
        <v>576</v>
      </c>
      <c r="D252">
        <v>44.252000000000002</v>
      </c>
      <c r="E252" s="2" t="s">
        <v>876</v>
      </c>
      <c r="F252" s="3">
        <f>VLOOKUP(G252,Лист2!$A$2:$B$26,2,0)</f>
        <v>2</v>
      </c>
      <c r="G252" t="s">
        <v>396</v>
      </c>
    </row>
    <row r="253" spans="1:7" ht="18.75" x14ac:dyDescent="0.25">
      <c r="A253">
        <v>252</v>
      </c>
      <c r="B253" t="s">
        <v>577</v>
      </c>
      <c r="C253" t="s">
        <v>578</v>
      </c>
      <c r="D253">
        <v>44.307000000000002</v>
      </c>
      <c r="E253" s="2" t="s">
        <v>877</v>
      </c>
      <c r="F253" s="3">
        <f>VLOOKUP(G253,Лист2!$A$2:$B$26,2,0)</f>
        <v>15</v>
      </c>
      <c r="G253" t="s">
        <v>422</v>
      </c>
    </row>
    <row r="254" spans="1:7" ht="18.75" x14ac:dyDescent="0.25">
      <c r="A254">
        <v>253</v>
      </c>
      <c r="B254" t="s">
        <v>579</v>
      </c>
      <c r="C254" t="s">
        <v>580</v>
      </c>
      <c r="D254">
        <v>44.774000000000001</v>
      </c>
      <c r="E254" s="2" t="s">
        <v>878</v>
      </c>
      <c r="F254" s="3">
        <f>VLOOKUP(G254,Лист2!$A$2:$B$26,2,0)</f>
        <v>18</v>
      </c>
      <c r="G254" t="s">
        <v>863</v>
      </c>
    </row>
    <row r="255" spans="1:7" ht="18.75" x14ac:dyDescent="0.25">
      <c r="A255">
        <v>254</v>
      </c>
      <c r="B255" t="s">
        <v>581</v>
      </c>
      <c r="C255" t="s">
        <v>582</v>
      </c>
      <c r="D255">
        <v>45.024999999999999</v>
      </c>
      <c r="E255" s="2" t="s">
        <v>879</v>
      </c>
      <c r="F255" s="3">
        <f>VLOOKUP(G255,Лист2!$A$2:$B$26,2,0)</f>
        <v>18</v>
      </c>
      <c r="G255" t="s">
        <v>863</v>
      </c>
    </row>
    <row r="256" spans="1:7" ht="18.75" x14ac:dyDescent="0.25">
      <c r="A256">
        <v>255</v>
      </c>
      <c r="B256" t="s">
        <v>583</v>
      </c>
      <c r="C256" t="s">
        <v>584</v>
      </c>
      <c r="D256">
        <v>45.945</v>
      </c>
      <c r="E256" s="2" t="s">
        <v>880</v>
      </c>
      <c r="F256" s="3">
        <f>VLOOKUP(G256,Лист2!$A$2:$B$26,2,0)</f>
        <v>4</v>
      </c>
      <c r="G256" t="s">
        <v>392</v>
      </c>
    </row>
    <row r="257" spans="1:7" ht="18.75" x14ac:dyDescent="0.25">
      <c r="A257">
        <v>256</v>
      </c>
      <c r="B257" t="s">
        <v>585</v>
      </c>
      <c r="C257" t="s">
        <v>586</v>
      </c>
      <c r="D257">
        <v>46.94</v>
      </c>
      <c r="E257" s="2" t="s">
        <v>881</v>
      </c>
      <c r="F257" s="3">
        <f>VLOOKUP(G257,Лист2!$A$2:$B$26,2,0)</f>
        <v>4</v>
      </c>
      <c r="G257" t="s">
        <v>392</v>
      </c>
    </row>
    <row r="258" spans="1:7" ht="18.75" x14ac:dyDescent="0.25">
      <c r="A258">
        <v>257</v>
      </c>
      <c r="B258" t="s">
        <v>587</v>
      </c>
      <c r="C258" t="s">
        <v>588</v>
      </c>
      <c r="D258">
        <v>45.962000000000003</v>
      </c>
      <c r="E258" s="2" t="s">
        <v>882</v>
      </c>
      <c r="F258" s="3">
        <f>VLOOKUP(G258,Лист2!$A$2:$B$26,2,0)</f>
        <v>19</v>
      </c>
      <c r="G258" t="s">
        <v>883</v>
      </c>
    </row>
    <row r="259" spans="1:7" ht="18.75" x14ac:dyDescent="0.25">
      <c r="A259">
        <v>258</v>
      </c>
      <c r="B259" t="s">
        <v>589</v>
      </c>
      <c r="C259" t="s">
        <v>590</v>
      </c>
      <c r="D259">
        <v>44.811999999999998</v>
      </c>
      <c r="E259" s="2" t="s">
        <v>885</v>
      </c>
      <c r="F259" s="3">
        <f>VLOOKUP(G259,Лист2!$A$2:$B$26,2,0)</f>
        <v>4</v>
      </c>
      <c r="G259" t="s">
        <v>392</v>
      </c>
    </row>
    <row r="260" spans="1:7" ht="18.75" x14ac:dyDescent="0.25">
      <c r="A260">
        <v>259</v>
      </c>
      <c r="B260" t="s">
        <v>591</v>
      </c>
      <c r="C260" t="s">
        <v>592</v>
      </c>
      <c r="D260">
        <v>45.595999999999997</v>
      </c>
      <c r="E260" s="2" t="s">
        <v>886</v>
      </c>
      <c r="F260" s="3">
        <f>VLOOKUP(G260,Лист2!$A$2:$B$26,2,0)</f>
        <v>9</v>
      </c>
      <c r="G260" t="s">
        <v>402</v>
      </c>
    </row>
    <row r="261" spans="1:7" ht="18.75" x14ac:dyDescent="0.25">
      <c r="A261">
        <v>260</v>
      </c>
      <c r="B261" t="s">
        <v>593</v>
      </c>
      <c r="C261" t="s">
        <v>594</v>
      </c>
      <c r="D261">
        <v>45.457999999999998</v>
      </c>
      <c r="E261" s="2" t="s">
        <v>887</v>
      </c>
      <c r="F261" s="3">
        <f>VLOOKUP(G261,Лист2!$A$2:$B$26,2,0)</f>
        <v>21</v>
      </c>
      <c r="G261" t="s">
        <v>913</v>
      </c>
    </row>
    <row r="262" spans="1:7" ht="18.75" x14ac:dyDescent="0.25">
      <c r="A262">
        <v>261</v>
      </c>
      <c r="B262" t="s">
        <v>595</v>
      </c>
      <c r="C262" t="s">
        <v>596</v>
      </c>
      <c r="D262">
        <v>45.56</v>
      </c>
      <c r="E262" s="2" t="s">
        <v>888</v>
      </c>
      <c r="F262" s="3">
        <f>VLOOKUP(G262,Лист2!$A$2:$B$26,2,0)</f>
        <v>21</v>
      </c>
      <c r="G262" t="s">
        <v>913</v>
      </c>
    </row>
    <row r="263" spans="1:7" ht="18.75" x14ac:dyDescent="0.25">
      <c r="A263">
        <v>262</v>
      </c>
      <c r="B263" t="s">
        <v>597</v>
      </c>
      <c r="C263" t="s">
        <v>598</v>
      </c>
      <c r="D263">
        <v>45.405000000000001</v>
      </c>
      <c r="E263" s="2" t="s">
        <v>889</v>
      </c>
      <c r="F263" s="3">
        <f>VLOOKUP(G263,Лист2!$A$2:$B$26,2,0)</f>
        <v>21</v>
      </c>
      <c r="G263" t="s">
        <v>913</v>
      </c>
    </row>
    <row r="264" spans="1:7" ht="18.75" x14ac:dyDescent="0.25">
      <c r="A264">
        <v>263</v>
      </c>
      <c r="B264" t="s">
        <v>599</v>
      </c>
      <c r="C264" t="s">
        <v>600</v>
      </c>
      <c r="D264">
        <v>45.494999999999997</v>
      </c>
      <c r="E264" s="2" t="s">
        <v>890</v>
      </c>
      <c r="F264" s="3">
        <f>VLOOKUP(G264,Лист2!$A$2:$B$26,2,0)</f>
        <v>9</v>
      </c>
      <c r="G264" t="s">
        <v>402</v>
      </c>
    </row>
    <row r="265" spans="1:7" ht="18.75" x14ac:dyDescent="0.25">
      <c r="A265">
        <v>264</v>
      </c>
      <c r="B265" t="s">
        <v>601</v>
      </c>
      <c r="C265" t="s">
        <v>602</v>
      </c>
      <c r="D265">
        <v>46.381999999999998</v>
      </c>
      <c r="E265" s="2" t="s">
        <v>891</v>
      </c>
      <c r="F265" s="3">
        <f>VLOOKUP(G265,Лист2!$A$2:$B$26,2,0)</f>
        <v>9</v>
      </c>
      <c r="G265" t="s">
        <v>402</v>
      </c>
    </row>
    <row r="266" spans="1:7" ht="18.75" x14ac:dyDescent="0.25">
      <c r="A266">
        <v>265</v>
      </c>
      <c r="B266" t="s">
        <v>603</v>
      </c>
      <c r="C266" t="s">
        <v>604</v>
      </c>
      <c r="D266">
        <v>46.406999999999996</v>
      </c>
      <c r="E266" s="2" t="s">
        <v>892</v>
      </c>
      <c r="F266" s="3">
        <f>VLOOKUP(G266,Лист2!$A$2:$B$26,2,0)</f>
        <v>9</v>
      </c>
      <c r="G266" t="s">
        <v>402</v>
      </c>
    </row>
    <row r="267" spans="1:7" ht="18.75" x14ac:dyDescent="0.25">
      <c r="A267">
        <v>266</v>
      </c>
      <c r="B267" t="s">
        <v>605</v>
      </c>
      <c r="C267" t="s">
        <v>606</v>
      </c>
      <c r="D267">
        <v>44.854999999999997</v>
      </c>
      <c r="E267" s="2" t="s">
        <v>893</v>
      </c>
      <c r="F267" s="3">
        <f>VLOOKUP(G267,Лист2!$A$2:$B$26,2,0)</f>
        <v>7</v>
      </c>
      <c r="G267" t="s">
        <v>397</v>
      </c>
    </row>
    <row r="268" spans="1:7" ht="18.75" x14ac:dyDescent="0.25">
      <c r="A268">
        <v>267</v>
      </c>
      <c r="B268" t="s">
        <v>607</v>
      </c>
      <c r="C268" t="s">
        <v>608</v>
      </c>
      <c r="D268">
        <v>43.524999999999999</v>
      </c>
      <c r="E268" s="2" t="s">
        <v>894</v>
      </c>
      <c r="F268" s="3">
        <f>VLOOKUP(G268,Лист2!$A$2:$B$26,2,0)</f>
        <v>5</v>
      </c>
      <c r="G268" t="s">
        <v>404</v>
      </c>
    </row>
    <row r="269" spans="1:7" ht="18.75" x14ac:dyDescent="0.25">
      <c r="A269">
        <v>268</v>
      </c>
      <c r="B269" t="s">
        <v>609</v>
      </c>
      <c r="C269" t="s">
        <v>610</v>
      </c>
      <c r="D269">
        <v>43.505000000000003</v>
      </c>
      <c r="E269" s="2" t="s">
        <v>895</v>
      </c>
      <c r="F269" s="3">
        <f>VLOOKUP(G269,Лист2!$A$2:$B$26,2,0)</f>
        <v>5</v>
      </c>
      <c r="G269" t="s">
        <v>404</v>
      </c>
    </row>
    <row r="270" spans="1:7" ht="18.75" x14ac:dyDescent="0.25">
      <c r="A270">
        <v>269</v>
      </c>
      <c r="B270" t="s">
        <v>611</v>
      </c>
      <c r="C270" t="s">
        <v>612</v>
      </c>
      <c r="D270">
        <v>43.167000000000002</v>
      </c>
      <c r="E270" s="2" t="s">
        <v>896</v>
      </c>
      <c r="F270" s="3">
        <f>VLOOKUP(G270,Лист2!$A$2:$B$26,2,0)</f>
        <v>9</v>
      </c>
      <c r="G270" t="s">
        <v>402</v>
      </c>
    </row>
    <row r="271" spans="1:7" ht="18.75" x14ac:dyDescent="0.25">
      <c r="A271">
        <v>270</v>
      </c>
      <c r="B271" t="s">
        <v>613</v>
      </c>
      <c r="C271" t="s">
        <v>614</v>
      </c>
      <c r="D271">
        <v>42.820999999999998</v>
      </c>
      <c r="E271" s="2" t="s">
        <v>897</v>
      </c>
      <c r="F271" s="3">
        <f>VLOOKUP(G271,Лист2!$A$2:$B$26,2,0)</f>
        <v>9</v>
      </c>
      <c r="G271" t="s">
        <v>402</v>
      </c>
    </row>
    <row r="272" spans="1:7" ht="18.75" x14ac:dyDescent="0.25">
      <c r="A272">
        <v>271</v>
      </c>
      <c r="B272" t="s">
        <v>615</v>
      </c>
      <c r="C272" t="s">
        <v>616</v>
      </c>
      <c r="D272">
        <v>44.125999999999998</v>
      </c>
      <c r="E272" s="2" t="s">
        <v>898</v>
      </c>
      <c r="F272" s="3">
        <f>VLOOKUP(G272,Лист2!$A$2:$B$26,2,0)</f>
        <v>6</v>
      </c>
      <c r="G272" t="s">
        <v>430</v>
      </c>
    </row>
    <row r="273" spans="1:7" ht="18.75" x14ac:dyDescent="0.25">
      <c r="A273">
        <v>272</v>
      </c>
      <c r="B273" t="s">
        <v>617</v>
      </c>
      <c r="C273" t="s">
        <v>618</v>
      </c>
      <c r="D273">
        <v>43.475000000000001</v>
      </c>
      <c r="E273" s="2" t="s">
        <v>899</v>
      </c>
      <c r="F273" s="3">
        <f>VLOOKUP(G273,Лист2!$A$2:$B$26,2,0)</f>
        <v>5</v>
      </c>
      <c r="G273" t="s">
        <v>404</v>
      </c>
    </row>
    <row r="274" spans="1:7" ht="18.75" x14ac:dyDescent="0.25">
      <c r="A274">
        <v>273</v>
      </c>
      <c r="B274" t="s">
        <v>619</v>
      </c>
      <c r="C274" t="s">
        <v>620</v>
      </c>
      <c r="D274">
        <v>43.348999999999997</v>
      </c>
      <c r="E274" s="2" t="s">
        <v>900</v>
      </c>
      <c r="F274" s="3">
        <f>VLOOKUP(G274,Лист2!$A$2:$B$26,2,0)</f>
        <v>6</v>
      </c>
      <c r="G274" t="s">
        <v>430</v>
      </c>
    </row>
    <row r="275" spans="1:7" ht="18.75" x14ac:dyDescent="0.25">
      <c r="A275">
        <v>274</v>
      </c>
      <c r="B275" t="s">
        <v>621</v>
      </c>
      <c r="C275" t="s">
        <v>622</v>
      </c>
      <c r="D275">
        <v>43.201000000000001</v>
      </c>
      <c r="E275" s="2" t="s">
        <v>901</v>
      </c>
      <c r="F275" s="3">
        <f>VLOOKUP(G275,Лист2!$A$2:$B$26,2,0)</f>
        <v>10</v>
      </c>
      <c r="G275" t="s">
        <v>429</v>
      </c>
    </row>
    <row r="276" spans="1:7" ht="18.75" x14ac:dyDescent="0.25">
      <c r="A276">
        <v>275</v>
      </c>
      <c r="B276" t="s">
        <v>623</v>
      </c>
      <c r="C276" t="s">
        <v>624</v>
      </c>
      <c r="D276">
        <v>43.277999999999999</v>
      </c>
      <c r="E276" s="2" t="s">
        <v>902</v>
      </c>
      <c r="F276" s="3">
        <f>VLOOKUP(G276,Лист2!$A$2:$B$26,2,0)</f>
        <v>17</v>
      </c>
      <c r="G276" t="s">
        <v>431</v>
      </c>
    </row>
    <row r="277" spans="1:7" ht="18.75" x14ac:dyDescent="0.25">
      <c r="A277">
        <v>276</v>
      </c>
      <c r="B277" t="s">
        <v>625</v>
      </c>
      <c r="C277" t="s">
        <v>626</v>
      </c>
      <c r="D277">
        <v>43.195999999999998</v>
      </c>
      <c r="E277" s="2" t="s">
        <v>903</v>
      </c>
      <c r="F277" s="3">
        <f>VLOOKUP(G277,Лист2!$A$2:$B$26,2,0)</f>
        <v>16</v>
      </c>
      <c r="G277" t="s">
        <v>437</v>
      </c>
    </row>
    <row r="278" spans="1:7" ht="18.75" x14ac:dyDescent="0.25">
      <c r="A278">
        <v>277</v>
      </c>
      <c r="B278" t="s">
        <v>627</v>
      </c>
      <c r="C278" t="s">
        <v>628</v>
      </c>
      <c r="D278">
        <v>42.936999999999998</v>
      </c>
      <c r="E278" s="2" t="s">
        <v>904</v>
      </c>
      <c r="F278" s="3">
        <f>VLOOKUP(G278,Лист2!$A$2:$B$26,2,0)</f>
        <v>16</v>
      </c>
      <c r="G278" t="s">
        <v>437</v>
      </c>
    </row>
    <row r="279" spans="1:7" ht="18.75" x14ac:dyDescent="0.25">
      <c r="A279">
        <v>278</v>
      </c>
      <c r="B279" t="s">
        <v>629</v>
      </c>
      <c r="C279" t="s">
        <v>630</v>
      </c>
      <c r="D279">
        <v>42.759</v>
      </c>
      <c r="E279" s="2" t="s">
        <v>905</v>
      </c>
      <c r="F279" s="3">
        <f>VLOOKUP(G279,Лист2!$A$2:$B$26,2,0)</f>
        <v>8</v>
      </c>
      <c r="G279" t="s">
        <v>393</v>
      </c>
    </row>
    <row r="280" spans="1:7" ht="18.75" x14ac:dyDescent="0.25">
      <c r="A280">
        <v>279</v>
      </c>
      <c r="B280" t="s">
        <v>631</v>
      </c>
      <c r="C280" t="s">
        <v>632</v>
      </c>
      <c r="D280">
        <v>42.66</v>
      </c>
      <c r="E280" s="2" t="s">
        <v>906</v>
      </c>
      <c r="F280" s="3">
        <f>VLOOKUP(G280,Лист2!$A$2:$B$26,2,0)</f>
        <v>5</v>
      </c>
      <c r="G280" t="s">
        <v>404</v>
      </c>
    </row>
    <row r="281" spans="1:7" ht="18.75" x14ac:dyDescent="0.25">
      <c r="A281">
        <v>280</v>
      </c>
      <c r="B281" t="s">
        <v>633</v>
      </c>
      <c r="C281" t="s">
        <v>634</v>
      </c>
      <c r="D281">
        <v>42.889000000000003</v>
      </c>
      <c r="E281" s="2" t="s">
        <v>907</v>
      </c>
      <c r="F281" s="3">
        <f>VLOOKUP(G281,Лист2!$A$2:$B$26,2,0)</f>
        <v>4</v>
      </c>
      <c r="G281" t="s">
        <v>392</v>
      </c>
    </row>
    <row r="282" spans="1:7" ht="18.75" x14ac:dyDescent="0.25">
      <c r="A282">
        <v>281</v>
      </c>
      <c r="B282" t="s">
        <v>635</v>
      </c>
      <c r="C282" t="s">
        <v>636</v>
      </c>
      <c r="D282">
        <v>42.386000000000003</v>
      </c>
      <c r="E282" s="2" t="s">
        <v>908</v>
      </c>
      <c r="F282" s="3">
        <f>VLOOKUP(G282,Лист2!$A$2:$B$26,2,0)</f>
        <v>8</v>
      </c>
      <c r="G282" t="s">
        <v>393</v>
      </c>
    </row>
    <row r="283" spans="1:7" ht="18.75" x14ac:dyDescent="0.25">
      <c r="A283">
        <v>282</v>
      </c>
      <c r="B283" t="s">
        <v>637</v>
      </c>
      <c r="C283" t="s">
        <v>638</v>
      </c>
      <c r="D283">
        <v>43.362000000000002</v>
      </c>
      <c r="E283" s="2" t="s">
        <v>902</v>
      </c>
      <c r="F283" s="3">
        <f>VLOOKUP(G283,Лист2!$A$2:$B$26,2,0)</f>
        <v>16</v>
      </c>
      <c r="G283" t="s">
        <v>437</v>
      </c>
    </row>
    <row r="284" spans="1:7" ht="18.75" x14ac:dyDescent="0.25">
      <c r="A284">
        <v>283</v>
      </c>
      <c r="B284" t="s">
        <v>639</v>
      </c>
      <c r="C284" t="s">
        <v>640</v>
      </c>
      <c r="D284">
        <v>43.283000000000001</v>
      </c>
      <c r="E284" s="2" t="s">
        <v>902</v>
      </c>
      <c r="F284" s="3">
        <f>VLOOKUP(G284,Лист2!$A$2:$B$26,2,0)</f>
        <v>16</v>
      </c>
      <c r="G284" t="s">
        <v>437</v>
      </c>
    </row>
    <row r="285" spans="1:7" ht="18.75" x14ac:dyDescent="0.25">
      <c r="A285">
        <v>284</v>
      </c>
      <c r="B285" t="s">
        <v>641</v>
      </c>
      <c r="C285" t="s">
        <v>642</v>
      </c>
      <c r="D285">
        <v>42.468000000000004</v>
      </c>
      <c r="E285" s="2" t="s">
        <v>881</v>
      </c>
      <c r="F285" s="3">
        <f>VLOOKUP(G285,Лист2!$A$2:$B$26,2,0)</f>
        <v>16</v>
      </c>
      <c r="G285" t="s">
        <v>437</v>
      </c>
    </row>
    <row r="286" spans="1:7" ht="18.75" x14ac:dyDescent="0.25">
      <c r="A286">
        <v>285</v>
      </c>
      <c r="B286" t="s">
        <v>643</v>
      </c>
      <c r="C286" t="s">
        <v>644</v>
      </c>
      <c r="D286">
        <v>42.561999999999998</v>
      </c>
      <c r="E286" s="2" t="s">
        <v>889</v>
      </c>
      <c r="F286" s="3">
        <f>VLOOKUP(G286,Лист2!$A$2:$B$26,2,0)</f>
        <v>16</v>
      </c>
      <c r="G286" t="s">
        <v>437</v>
      </c>
    </row>
    <row r="287" spans="1:7" ht="18.75" x14ac:dyDescent="0.25">
      <c r="A287">
        <v>286</v>
      </c>
      <c r="B287" t="s">
        <v>645</v>
      </c>
      <c r="C287" t="s">
        <v>646</v>
      </c>
      <c r="D287">
        <v>41.906999999999996</v>
      </c>
      <c r="E287" s="2" t="s">
        <v>909</v>
      </c>
      <c r="F287" s="3">
        <f>VLOOKUP(G287,Лист2!$A$2:$B$26,2,0)</f>
        <v>3</v>
      </c>
      <c r="G287" t="s">
        <v>391</v>
      </c>
    </row>
    <row r="288" spans="1:7" ht="18.75" x14ac:dyDescent="0.25">
      <c r="A288">
        <v>287</v>
      </c>
      <c r="B288" t="s">
        <v>647</v>
      </c>
      <c r="C288" t="s">
        <v>648</v>
      </c>
      <c r="D288">
        <v>42.125</v>
      </c>
      <c r="E288" s="2" t="s">
        <v>910</v>
      </c>
      <c r="F288" s="3">
        <f>VLOOKUP(G288,Лист2!$A$2:$B$26,2,0)</f>
        <v>13</v>
      </c>
      <c r="G288" t="s">
        <v>411</v>
      </c>
    </row>
    <row r="289" spans="1:7" ht="18.75" x14ac:dyDescent="0.25">
      <c r="A289">
        <v>288</v>
      </c>
      <c r="B289" t="s">
        <v>649</v>
      </c>
      <c r="C289" t="s">
        <v>650</v>
      </c>
      <c r="D289">
        <v>41.875999999999998</v>
      </c>
      <c r="E289" s="2" t="s">
        <v>909</v>
      </c>
      <c r="F289" s="3">
        <f>VLOOKUP(G289,Лист2!$A$2:$B$26,2,0)</f>
        <v>8</v>
      </c>
      <c r="G289" t="s">
        <v>393</v>
      </c>
    </row>
    <row r="290" spans="1:7" ht="18.75" x14ac:dyDescent="0.25">
      <c r="A290">
        <v>289</v>
      </c>
      <c r="B290" t="s">
        <v>651</v>
      </c>
      <c r="C290" t="s">
        <v>652</v>
      </c>
      <c r="D290">
        <v>41.317</v>
      </c>
      <c r="E290" s="2" t="s">
        <v>912</v>
      </c>
      <c r="F290" s="3">
        <f>VLOOKUP(G290,Лист2!$A$2:$B$26,2,0)</f>
        <v>4</v>
      </c>
      <c r="G290" t="s">
        <v>392</v>
      </c>
    </row>
    <row r="291" spans="1:7" ht="18.75" x14ac:dyDescent="0.25">
      <c r="A291">
        <v>290</v>
      </c>
      <c r="B291" t="s">
        <v>653</v>
      </c>
      <c r="C291" t="s">
        <v>654</v>
      </c>
      <c r="D291">
        <v>41.377000000000002</v>
      </c>
      <c r="E291" s="2" t="s">
        <v>911</v>
      </c>
      <c r="F291" s="3">
        <f>VLOOKUP(G291,Лист2!$A$2:$B$26,2,0)</f>
        <v>4</v>
      </c>
      <c r="G291" t="s">
        <v>392</v>
      </c>
    </row>
    <row r="292" spans="1:7" ht="18.75" x14ac:dyDescent="0.25">
      <c r="A292">
        <v>291</v>
      </c>
      <c r="B292" t="s">
        <v>655</v>
      </c>
      <c r="C292" t="s">
        <v>656</v>
      </c>
      <c r="D292">
        <v>41.661999999999999</v>
      </c>
      <c r="E292" s="2" t="s">
        <v>914</v>
      </c>
      <c r="F292" s="3">
        <f>VLOOKUP(G292,Лист2!$A$2:$B$26,2,0)</f>
        <v>5</v>
      </c>
      <c r="G292" t="s">
        <v>404</v>
      </c>
    </row>
    <row r="293" spans="1:7" ht="18.75" x14ac:dyDescent="0.25">
      <c r="A293">
        <v>292</v>
      </c>
      <c r="B293" t="s">
        <v>657</v>
      </c>
      <c r="C293" t="s">
        <v>658</v>
      </c>
      <c r="D293">
        <v>41.554000000000002</v>
      </c>
      <c r="E293" s="2" t="s">
        <v>917</v>
      </c>
      <c r="F293" s="3">
        <f>VLOOKUP(G293,Лист2!$A$2:$B$26,2,0)</f>
        <v>3</v>
      </c>
      <c r="G293" t="s">
        <v>391</v>
      </c>
    </row>
    <row r="294" spans="1:7" ht="18.75" x14ac:dyDescent="0.25">
      <c r="A294">
        <v>293</v>
      </c>
      <c r="B294" t="s">
        <v>659</v>
      </c>
      <c r="C294" t="s">
        <v>660</v>
      </c>
      <c r="D294">
        <v>41.795999999999999</v>
      </c>
      <c r="E294" s="2" t="s">
        <v>914</v>
      </c>
      <c r="F294" s="3">
        <f>VLOOKUP(G294,Лист2!$A$2:$B$26,2,0)</f>
        <v>3</v>
      </c>
      <c r="G294" t="s">
        <v>391</v>
      </c>
    </row>
    <row r="295" spans="1:7" ht="18.75" x14ac:dyDescent="0.25">
      <c r="A295">
        <v>294</v>
      </c>
      <c r="B295" t="s">
        <v>661</v>
      </c>
      <c r="C295" t="s">
        <v>662</v>
      </c>
      <c r="D295">
        <v>41.655999999999999</v>
      </c>
      <c r="E295" s="2" t="s">
        <v>918</v>
      </c>
      <c r="F295" s="3">
        <f>VLOOKUP(G295,Лист2!$A$2:$B$26,2,0)</f>
        <v>8</v>
      </c>
      <c r="G295" t="s">
        <v>393</v>
      </c>
    </row>
    <row r="296" spans="1:7" ht="18.75" x14ac:dyDescent="0.25">
      <c r="A296">
        <v>295</v>
      </c>
      <c r="B296" t="s">
        <v>663</v>
      </c>
      <c r="C296" t="s">
        <v>664</v>
      </c>
      <c r="D296">
        <v>41.645000000000003</v>
      </c>
      <c r="E296" s="2" t="s">
        <v>882</v>
      </c>
      <c r="F296" s="3">
        <f>VLOOKUP(G296,Лист2!$A$2:$B$26,2,0)</f>
        <v>8</v>
      </c>
      <c r="G296" t="s">
        <v>393</v>
      </c>
    </row>
    <row r="297" spans="1:7" ht="18.75" x14ac:dyDescent="0.25">
      <c r="A297">
        <v>296</v>
      </c>
      <c r="B297" t="s">
        <v>665</v>
      </c>
      <c r="C297" t="s">
        <v>666</v>
      </c>
      <c r="D297">
        <v>41.908000000000001</v>
      </c>
      <c r="E297" s="2" t="s">
        <v>919</v>
      </c>
      <c r="F297" s="3">
        <f>VLOOKUP(G297,Лист2!$A$2:$B$26,2,0)</f>
        <v>13</v>
      </c>
      <c r="G297" t="s">
        <v>411</v>
      </c>
    </row>
    <row r="298" spans="1:7" ht="18.75" x14ac:dyDescent="0.25">
      <c r="A298">
        <v>297</v>
      </c>
      <c r="B298" t="s">
        <v>667</v>
      </c>
      <c r="C298" t="s">
        <v>668</v>
      </c>
      <c r="D298">
        <v>41.808999999999997</v>
      </c>
      <c r="E298" s="2" t="s">
        <v>889</v>
      </c>
      <c r="F298" s="3">
        <f>VLOOKUP(G298,Лист2!$A$2:$B$26,2,0)</f>
        <v>15</v>
      </c>
      <c r="G298" t="s">
        <v>422</v>
      </c>
    </row>
    <row r="299" spans="1:7" ht="18.75" x14ac:dyDescent="0.25">
      <c r="A299">
        <v>298</v>
      </c>
      <c r="B299" t="s">
        <v>669</v>
      </c>
      <c r="C299" t="s">
        <v>670</v>
      </c>
      <c r="D299">
        <v>41.613</v>
      </c>
      <c r="E299" s="2" t="s">
        <v>909</v>
      </c>
      <c r="F299" s="3">
        <f>VLOOKUP(G299,Лист2!$A$2:$B$26,2,0)</f>
        <v>13</v>
      </c>
      <c r="G299" t="s">
        <v>411</v>
      </c>
    </row>
    <row r="300" spans="1:7" ht="18.75" x14ac:dyDescent="0.25">
      <c r="A300">
        <v>299</v>
      </c>
      <c r="B300" t="s">
        <v>671</v>
      </c>
      <c r="C300" t="s">
        <v>672</v>
      </c>
      <c r="D300">
        <v>42.162999999999997</v>
      </c>
      <c r="E300" s="2" t="s">
        <v>920</v>
      </c>
      <c r="F300" s="3">
        <f>VLOOKUP(G300,Лист2!$A$2:$B$26,2,0)</f>
        <v>13</v>
      </c>
      <c r="G300" t="s">
        <v>411</v>
      </c>
    </row>
    <row r="301" spans="1:7" ht="18.75" x14ac:dyDescent="0.25">
      <c r="A301">
        <v>300</v>
      </c>
      <c r="B301" t="s">
        <v>673</v>
      </c>
      <c r="C301" t="s">
        <v>674</v>
      </c>
      <c r="D301">
        <v>42.011000000000003</v>
      </c>
      <c r="E301" s="2" t="s">
        <v>921</v>
      </c>
      <c r="F301" s="3">
        <f>VLOOKUP(G301,Лист2!$A$2:$B$26,2,0)</f>
        <v>8</v>
      </c>
      <c r="G301" t="s">
        <v>393</v>
      </c>
    </row>
    <row r="302" spans="1:7" ht="18.75" x14ac:dyDescent="0.25">
      <c r="A302">
        <v>301</v>
      </c>
      <c r="B302" t="s">
        <v>675</v>
      </c>
      <c r="C302" t="s">
        <v>676</v>
      </c>
      <c r="D302">
        <v>42.116</v>
      </c>
      <c r="E302" s="2" t="s">
        <v>902</v>
      </c>
      <c r="F302" s="3">
        <f>VLOOKUP(G302,Лист2!$A$2:$B$26,2,0)</f>
        <v>8</v>
      </c>
      <c r="G302" t="s">
        <v>393</v>
      </c>
    </row>
    <row r="303" spans="1:7" ht="18.75" x14ac:dyDescent="0.25">
      <c r="A303">
        <v>302</v>
      </c>
      <c r="B303" t="s">
        <v>677</v>
      </c>
      <c r="C303" t="s">
        <v>678</v>
      </c>
      <c r="D303">
        <v>41.777999999999999</v>
      </c>
      <c r="E303" s="2" t="s">
        <v>922</v>
      </c>
      <c r="F303" s="3">
        <f>VLOOKUP(G303,Лист2!$A$2:$B$26,2,0)</f>
        <v>3</v>
      </c>
      <c r="G303" t="s">
        <v>391</v>
      </c>
    </row>
    <row r="304" spans="1:7" ht="18.75" x14ac:dyDescent="0.25">
      <c r="A304">
        <v>303</v>
      </c>
      <c r="B304" t="s">
        <v>679</v>
      </c>
      <c r="C304" t="s">
        <v>680</v>
      </c>
      <c r="D304">
        <v>43.314999999999998</v>
      </c>
      <c r="E304" s="2" t="s">
        <v>923</v>
      </c>
      <c r="F304" s="3">
        <f>VLOOKUP(G304,Лист2!$A$2:$B$26,2,0)</f>
        <v>8</v>
      </c>
      <c r="G304" t="s">
        <v>393</v>
      </c>
    </row>
    <row r="305" spans="1:7" ht="18.75" x14ac:dyDescent="0.25">
      <c r="A305">
        <v>304</v>
      </c>
      <c r="B305" t="s">
        <v>681</v>
      </c>
      <c r="C305" t="s">
        <v>682</v>
      </c>
      <c r="D305">
        <v>42.076999999999998</v>
      </c>
      <c r="E305" s="2" t="s">
        <v>924</v>
      </c>
      <c r="F305" s="3">
        <f>VLOOKUP(G305,Лист2!$A$2:$B$26,2,0)</f>
        <v>15</v>
      </c>
      <c r="G305" t="s">
        <v>422</v>
      </c>
    </row>
    <row r="306" spans="1:7" ht="18.75" x14ac:dyDescent="0.25">
      <c r="A306">
        <v>305</v>
      </c>
      <c r="B306" t="s">
        <v>683</v>
      </c>
      <c r="C306" t="s">
        <v>684</v>
      </c>
      <c r="D306">
        <v>43.11</v>
      </c>
      <c r="E306" s="2" t="s">
        <v>917</v>
      </c>
      <c r="F306" s="3">
        <f>VLOOKUP(G306,Лист2!$A$2:$B$26,2,0)</f>
        <v>8</v>
      </c>
      <c r="G306" t="s">
        <v>393</v>
      </c>
    </row>
    <row r="307" spans="1:7" ht="18.75" x14ac:dyDescent="0.25">
      <c r="A307">
        <v>306</v>
      </c>
      <c r="B307" t="s">
        <v>685</v>
      </c>
      <c r="C307" t="s">
        <v>686</v>
      </c>
      <c r="D307">
        <v>43.881999999999998</v>
      </c>
      <c r="E307" s="2" t="s">
        <v>893</v>
      </c>
      <c r="F307" s="3">
        <f>VLOOKUP(G307,Лист2!$A$2:$B$26,2,0)</f>
        <v>3</v>
      </c>
      <c r="G307" t="s">
        <v>391</v>
      </c>
    </row>
    <row r="308" spans="1:7" ht="18.75" x14ac:dyDescent="0.25">
      <c r="A308">
        <v>307</v>
      </c>
      <c r="B308" t="s">
        <v>687</v>
      </c>
      <c r="C308" t="s">
        <v>688</v>
      </c>
      <c r="D308">
        <v>43.715000000000003</v>
      </c>
      <c r="E308" s="2" t="s">
        <v>914</v>
      </c>
      <c r="F308" s="3">
        <f>VLOOKUP(G308,Лист2!$A$2:$B$26,2,0)</f>
        <v>7</v>
      </c>
      <c r="G308" t="s">
        <v>397</v>
      </c>
    </row>
    <row r="309" spans="1:7" ht="18.75" x14ac:dyDescent="0.25">
      <c r="A309">
        <v>308</v>
      </c>
      <c r="B309" t="s">
        <v>689</v>
      </c>
      <c r="C309" t="s">
        <v>690</v>
      </c>
      <c r="D309">
        <v>43.290999999999997</v>
      </c>
      <c r="E309" s="2" t="s">
        <v>914</v>
      </c>
      <c r="F309" s="3">
        <f>VLOOKUP(G309,Лист2!$A$2:$B$26,2,0)</f>
        <v>3</v>
      </c>
      <c r="G309" t="s">
        <v>391</v>
      </c>
    </row>
    <row r="310" spans="1:7" ht="18.75" x14ac:dyDescent="0.25">
      <c r="A310">
        <v>309</v>
      </c>
      <c r="B310" t="s">
        <v>691</v>
      </c>
      <c r="C310" t="s">
        <v>692</v>
      </c>
      <c r="D310">
        <v>43.241999999999997</v>
      </c>
      <c r="E310" s="2" t="s">
        <v>882</v>
      </c>
      <c r="F310" s="3">
        <f>VLOOKUP(G310,Лист2!$A$2:$B$26,2,0)</f>
        <v>3</v>
      </c>
      <c r="G310" t="s">
        <v>391</v>
      </c>
    </row>
    <row r="311" spans="1:7" ht="18.75" x14ac:dyDescent="0.25">
      <c r="A311">
        <v>310</v>
      </c>
      <c r="B311" t="s">
        <v>693</v>
      </c>
      <c r="C311" t="s">
        <v>694</v>
      </c>
      <c r="D311">
        <v>42.8</v>
      </c>
      <c r="E311" s="2" t="s">
        <v>925</v>
      </c>
      <c r="F311" s="3">
        <f>VLOOKUP(G311,Лист2!$A$2:$B$26,2,0)</f>
        <v>3</v>
      </c>
      <c r="G311" t="s">
        <v>391</v>
      </c>
    </row>
    <row r="312" spans="1:7" ht="18.75" x14ac:dyDescent="0.25">
      <c r="A312">
        <v>311</v>
      </c>
      <c r="B312" t="s">
        <v>695</v>
      </c>
      <c r="C312" t="s">
        <v>696</v>
      </c>
      <c r="D312">
        <v>42.768000000000001</v>
      </c>
      <c r="E312" s="2" t="s">
        <v>908</v>
      </c>
      <c r="F312" s="3">
        <f>VLOOKUP(G312,Лист2!$A$2:$B$26,2,0)</f>
        <v>8</v>
      </c>
      <c r="G312" t="s">
        <v>393</v>
      </c>
    </row>
    <row r="313" spans="1:7" ht="18.75" x14ac:dyDescent="0.25">
      <c r="A313">
        <v>312</v>
      </c>
      <c r="B313" t="s">
        <v>697</v>
      </c>
      <c r="C313" t="s">
        <v>698</v>
      </c>
      <c r="D313">
        <v>43.429000000000002</v>
      </c>
      <c r="E313" s="2" t="s">
        <v>910</v>
      </c>
      <c r="F313" s="3">
        <f>VLOOKUP(G313,Лист2!$A$2:$B$26,2,0)</f>
        <v>4</v>
      </c>
      <c r="G313" t="s">
        <v>392</v>
      </c>
    </row>
    <row r="314" spans="1:7" ht="18.75" x14ac:dyDescent="0.25">
      <c r="A314">
        <v>313</v>
      </c>
      <c r="B314" t="s">
        <v>699</v>
      </c>
      <c r="C314" t="s">
        <v>700</v>
      </c>
      <c r="D314">
        <v>43.374000000000002</v>
      </c>
      <c r="E314" s="2" t="s">
        <v>909</v>
      </c>
      <c r="F314" s="3">
        <f>VLOOKUP(G314,Лист2!$A$2:$B$26,2,0)</f>
        <v>22</v>
      </c>
      <c r="G314" t="s">
        <v>930</v>
      </c>
    </row>
    <row r="315" spans="1:7" ht="18.75" x14ac:dyDescent="0.25">
      <c r="A315">
        <v>314</v>
      </c>
      <c r="B315" t="s">
        <v>701</v>
      </c>
      <c r="C315" t="s">
        <v>702</v>
      </c>
      <c r="D315">
        <v>43.268999999999998</v>
      </c>
      <c r="E315" s="2" t="s">
        <v>926</v>
      </c>
      <c r="F315" s="3">
        <f>VLOOKUP(G315,Лист2!$A$2:$B$26,2,0)</f>
        <v>15</v>
      </c>
      <c r="G315" t="s">
        <v>422</v>
      </c>
    </row>
    <row r="316" spans="1:7" ht="18.75" x14ac:dyDescent="0.25">
      <c r="A316">
        <v>315</v>
      </c>
      <c r="B316" t="s">
        <v>703</v>
      </c>
      <c r="C316" t="s">
        <v>704</v>
      </c>
      <c r="D316">
        <v>43.389000000000003</v>
      </c>
      <c r="E316" s="2" t="s">
        <v>926</v>
      </c>
      <c r="F316" s="3">
        <f>VLOOKUP(G316,Лист2!$A$2:$B$26,2,0)</f>
        <v>15</v>
      </c>
      <c r="G316" t="s">
        <v>422</v>
      </c>
    </row>
    <row r="317" spans="1:7" ht="18.75" x14ac:dyDescent="0.25">
      <c r="A317">
        <v>316</v>
      </c>
      <c r="B317" t="s">
        <v>705</v>
      </c>
      <c r="C317" t="s">
        <v>706</v>
      </c>
      <c r="D317">
        <v>43.948999999999998</v>
      </c>
      <c r="E317" s="2" t="s">
        <v>881</v>
      </c>
      <c r="F317" s="3">
        <f>VLOOKUP(G317,Лист2!$A$2:$B$26,2,0)</f>
        <v>16</v>
      </c>
      <c r="G317" t="s">
        <v>437</v>
      </c>
    </row>
    <row r="318" spans="1:7" ht="18.75" x14ac:dyDescent="0.25">
      <c r="A318">
        <v>317</v>
      </c>
      <c r="B318" t="s">
        <v>707</v>
      </c>
      <c r="C318" t="s">
        <v>708</v>
      </c>
      <c r="D318">
        <v>43.576000000000001</v>
      </c>
      <c r="E318" s="2" t="s">
        <v>927</v>
      </c>
      <c r="F318" s="3">
        <f>VLOOKUP(G318,Лист2!$A$2:$B$26,2,0)</f>
        <v>15</v>
      </c>
      <c r="G318" t="s">
        <v>422</v>
      </c>
    </row>
    <row r="319" spans="1:7" ht="18.75" x14ac:dyDescent="0.25">
      <c r="A319">
        <v>318</v>
      </c>
      <c r="B319" t="s">
        <v>709</v>
      </c>
      <c r="C319" t="s">
        <v>710</v>
      </c>
      <c r="D319">
        <v>43.923000000000002</v>
      </c>
      <c r="E319" s="2" t="s">
        <v>874</v>
      </c>
      <c r="F319" s="3">
        <f>VLOOKUP(G319,Лист2!$A$2:$B$26,2,0)</f>
        <v>2</v>
      </c>
      <c r="G319" t="s">
        <v>396</v>
      </c>
    </row>
    <row r="320" spans="1:7" ht="18.75" x14ac:dyDescent="0.25">
      <c r="A320">
        <v>319</v>
      </c>
      <c r="B320" t="s">
        <v>711</v>
      </c>
      <c r="C320" t="s">
        <v>712</v>
      </c>
      <c r="D320">
        <v>44.161000000000001</v>
      </c>
      <c r="E320" s="2" t="s">
        <v>928</v>
      </c>
      <c r="F320" s="3">
        <f>VLOOKUP(G320,Лист2!$A$2:$B$26,2,0)</f>
        <v>18</v>
      </c>
      <c r="G320" t="s">
        <v>863</v>
      </c>
    </row>
    <row r="321" spans="1:7" ht="18.75" x14ac:dyDescent="0.25">
      <c r="A321">
        <v>320</v>
      </c>
      <c r="B321" t="s">
        <v>713</v>
      </c>
      <c r="C321" t="s">
        <v>714</v>
      </c>
      <c r="D321">
        <v>43.712000000000003</v>
      </c>
      <c r="E321" s="2" t="s">
        <v>904</v>
      </c>
      <c r="F321" s="3">
        <f>VLOOKUP(G321,Лист2!$A$2:$B$26,2,0)</f>
        <v>16</v>
      </c>
      <c r="G321" t="s">
        <v>437</v>
      </c>
    </row>
    <row r="322" spans="1:7" ht="18.75" x14ac:dyDescent="0.25">
      <c r="A322">
        <v>321</v>
      </c>
      <c r="B322" t="s">
        <v>715</v>
      </c>
      <c r="C322" t="s">
        <v>716</v>
      </c>
      <c r="D322">
        <v>43.942999999999998</v>
      </c>
      <c r="E322" s="2" t="s">
        <v>889</v>
      </c>
      <c r="F322" s="3">
        <f>VLOOKUP(G322,Лист2!$A$2:$B$26,2,0)</f>
        <v>3</v>
      </c>
      <c r="G322" t="s">
        <v>391</v>
      </c>
    </row>
    <row r="323" spans="1:7" ht="18.75" x14ac:dyDescent="0.25">
      <c r="A323">
        <v>322</v>
      </c>
      <c r="B323" t="s">
        <v>717</v>
      </c>
      <c r="C323" t="s">
        <v>718</v>
      </c>
      <c r="D323">
        <v>43.518999999999998</v>
      </c>
      <c r="E323" s="2" t="s">
        <v>929</v>
      </c>
      <c r="F323" s="3">
        <f>VLOOKUP(G323,Лист2!$A$2:$B$26,2,0)</f>
        <v>3</v>
      </c>
      <c r="G323" t="s">
        <v>391</v>
      </c>
    </row>
    <row r="324" spans="1:7" ht="18.75" x14ac:dyDescent="0.25">
      <c r="A324">
        <v>323</v>
      </c>
      <c r="B324" t="s">
        <v>719</v>
      </c>
      <c r="C324" t="s">
        <v>720</v>
      </c>
      <c r="D324">
        <v>44.603000000000002</v>
      </c>
      <c r="E324" s="2" t="s">
        <v>902</v>
      </c>
      <c r="F324" s="3">
        <f>VLOOKUP(G324,Лист2!$A$2:$B$26,2,0)</f>
        <v>3</v>
      </c>
      <c r="G324" t="s">
        <v>391</v>
      </c>
    </row>
    <row r="325" spans="1:7" ht="18.75" x14ac:dyDescent="0.25">
      <c r="A325">
        <v>324</v>
      </c>
      <c r="B325" t="s">
        <v>721</v>
      </c>
      <c r="C325" t="s">
        <v>722</v>
      </c>
      <c r="D325">
        <v>44.628</v>
      </c>
      <c r="E325" s="2" t="s">
        <v>931</v>
      </c>
      <c r="F325" s="3">
        <f>VLOOKUP(G325,Лист2!$A$2:$B$26,2,0)</f>
        <v>3</v>
      </c>
      <c r="G325" t="s">
        <v>391</v>
      </c>
    </row>
    <row r="326" spans="1:7" ht="18.75" x14ac:dyDescent="0.25">
      <c r="A326">
        <v>325</v>
      </c>
      <c r="B326" t="s">
        <v>723</v>
      </c>
      <c r="C326" t="s">
        <v>724</v>
      </c>
      <c r="D326">
        <v>44.832999999999998</v>
      </c>
      <c r="E326" s="2" t="s">
        <v>908</v>
      </c>
      <c r="F326" s="3">
        <f>VLOOKUP(G326,Лист2!$A$2:$B$26,2,0)</f>
        <v>16</v>
      </c>
      <c r="G326" t="s">
        <v>437</v>
      </c>
    </row>
    <row r="327" spans="1:7" ht="18.75" x14ac:dyDescent="0.25">
      <c r="A327">
        <v>326</v>
      </c>
      <c r="B327" t="s">
        <v>725</v>
      </c>
      <c r="C327" t="s">
        <v>726</v>
      </c>
      <c r="D327">
        <v>44.970999999999997</v>
      </c>
      <c r="E327" s="2" t="s">
        <v>932</v>
      </c>
      <c r="F327" s="3">
        <f>VLOOKUP(G327,Лист2!$A$2:$B$26,2,0)</f>
        <v>16</v>
      </c>
      <c r="G327" t="s">
        <v>437</v>
      </c>
    </row>
    <row r="328" spans="1:7" ht="18.75" x14ac:dyDescent="0.25">
      <c r="A328">
        <v>327</v>
      </c>
      <c r="B328" t="s">
        <v>727</v>
      </c>
      <c r="C328" t="s">
        <v>728</v>
      </c>
      <c r="D328">
        <v>44.902999999999999</v>
      </c>
      <c r="E328" s="2" t="s">
        <v>914</v>
      </c>
      <c r="F328" s="3">
        <f>VLOOKUP(G328,Лист2!$A$2:$B$26,2,0)</f>
        <v>16</v>
      </c>
      <c r="G328" t="s">
        <v>437</v>
      </c>
    </row>
    <row r="329" spans="1:7" ht="18.75" x14ac:dyDescent="0.25">
      <c r="A329">
        <v>328</v>
      </c>
      <c r="B329" t="s">
        <v>729</v>
      </c>
      <c r="C329" t="s">
        <v>730</v>
      </c>
      <c r="D329">
        <v>45.03</v>
      </c>
      <c r="F329" s="3">
        <v>3.16</v>
      </c>
      <c r="G329" t="s">
        <v>936</v>
      </c>
    </row>
    <row r="330" spans="1:7" ht="18.75" x14ac:dyDescent="0.25">
      <c r="A330">
        <v>329</v>
      </c>
      <c r="B330" t="s">
        <v>731</v>
      </c>
      <c r="C330" t="s">
        <v>732</v>
      </c>
      <c r="D330">
        <v>44.603000000000002</v>
      </c>
      <c r="E330" s="2" t="s">
        <v>933</v>
      </c>
      <c r="F330" s="3">
        <f>VLOOKUP(G330,Лист2!$A$2:$B$26,2,0)</f>
        <v>2</v>
      </c>
      <c r="G330" t="s">
        <v>396</v>
      </c>
    </row>
    <row r="331" spans="1:7" ht="18.75" x14ac:dyDescent="0.25">
      <c r="A331">
        <v>330</v>
      </c>
      <c r="B331" t="s">
        <v>733</v>
      </c>
      <c r="C331" t="s">
        <v>734</v>
      </c>
      <c r="D331">
        <v>43.104999999999997</v>
      </c>
      <c r="E331" s="2" t="s">
        <v>934</v>
      </c>
      <c r="F331" s="3">
        <f>VLOOKUP(G331,Лист2!$A$2:$B$26,2,0)</f>
        <v>8</v>
      </c>
      <c r="G331" t="s">
        <v>393</v>
      </c>
    </row>
    <row r="332" spans="1:7" ht="18.75" x14ac:dyDescent="0.25">
      <c r="A332">
        <v>331</v>
      </c>
      <c r="B332" t="s">
        <v>735</v>
      </c>
      <c r="C332" t="s">
        <v>736</v>
      </c>
      <c r="D332">
        <v>43.170999999999999</v>
      </c>
      <c r="E332" s="2" t="s">
        <v>935</v>
      </c>
      <c r="F332" s="3">
        <f>VLOOKUP(G332,Лист2!$A$2:$B$26,2,0)</f>
        <v>8</v>
      </c>
      <c r="G332" t="s">
        <v>393</v>
      </c>
    </row>
    <row r="333" spans="1:7" ht="18.75" x14ac:dyDescent="0.25">
      <c r="A333">
        <v>332</v>
      </c>
      <c r="B333" t="s">
        <v>737</v>
      </c>
      <c r="C333" t="s">
        <v>738</v>
      </c>
      <c r="D333">
        <v>40.548000000000002</v>
      </c>
      <c r="E333" s="2" t="s">
        <v>937</v>
      </c>
      <c r="F333" s="3">
        <f>VLOOKUP(G333,Лист2!$A$2:$B$26,2,0)</f>
        <v>2</v>
      </c>
      <c r="G333" t="s">
        <v>396</v>
      </c>
    </row>
    <row r="334" spans="1:7" ht="18.75" x14ac:dyDescent="0.25">
      <c r="A334">
        <v>333</v>
      </c>
      <c r="B334" t="s">
        <v>739</v>
      </c>
      <c r="C334" t="s">
        <v>740</v>
      </c>
      <c r="D334">
        <v>40.095999999999997</v>
      </c>
      <c r="E334" s="2" t="s">
        <v>938</v>
      </c>
      <c r="F334" s="3">
        <f>VLOOKUP(G334,Лист2!$A$2:$B$26,2,0)</f>
        <v>2</v>
      </c>
      <c r="G334" t="s">
        <v>396</v>
      </c>
    </row>
    <row r="335" spans="1:7" ht="18.75" x14ac:dyDescent="0.25">
      <c r="A335">
        <v>334</v>
      </c>
      <c r="B335" t="s">
        <v>741</v>
      </c>
      <c r="C335" t="s">
        <v>742</v>
      </c>
      <c r="D335">
        <v>39.488</v>
      </c>
      <c r="E335" s="2" t="s">
        <v>939</v>
      </c>
      <c r="F335" s="3">
        <f>VLOOKUP(G335,Лист2!$A$2:$B$26,2,0)</f>
        <v>9</v>
      </c>
      <c r="G335" t="s">
        <v>402</v>
      </c>
    </row>
    <row r="336" spans="1:7" ht="18.75" x14ac:dyDescent="0.25">
      <c r="A336">
        <v>335</v>
      </c>
      <c r="B336" t="s">
        <v>743</v>
      </c>
      <c r="C336" t="s">
        <v>744</v>
      </c>
      <c r="D336">
        <v>39.570999999999998</v>
      </c>
      <c r="E336" s="2" t="s">
        <v>940</v>
      </c>
      <c r="F336" s="3">
        <f>VLOOKUP(G336,Лист2!$A$2:$B$26,2,0)</f>
        <v>9</v>
      </c>
      <c r="G336" t="s">
        <v>402</v>
      </c>
    </row>
    <row r="337" spans="1:7" ht="18.75" x14ac:dyDescent="0.25">
      <c r="A337">
        <v>336</v>
      </c>
      <c r="B337" t="s">
        <v>745</v>
      </c>
      <c r="C337" t="s">
        <v>746</v>
      </c>
      <c r="D337">
        <v>39.402999999999999</v>
      </c>
      <c r="E337" s="2" t="s">
        <v>941</v>
      </c>
      <c r="F337" s="3">
        <f>VLOOKUP(G337,Лист2!$A$2:$B$26,2,0)</f>
        <v>9</v>
      </c>
      <c r="G337" t="s">
        <v>402</v>
      </c>
    </row>
    <row r="338" spans="1:7" ht="18.75" x14ac:dyDescent="0.25">
      <c r="A338">
        <v>337</v>
      </c>
      <c r="B338" t="s">
        <v>747</v>
      </c>
      <c r="C338" t="s">
        <v>748</v>
      </c>
      <c r="D338">
        <v>39.841999999999999</v>
      </c>
      <c r="E338" s="2" t="s">
        <v>942</v>
      </c>
      <c r="F338" s="3">
        <f>VLOOKUP(G338,Лист2!$A$2:$B$26,2,0)</f>
        <v>9</v>
      </c>
      <c r="G338" t="s">
        <v>402</v>
      </c>
    </row>
    <row r="339" spans="1:7" ht="18.75" x14ac:dyDescent="0.25">
      <c r="A339">
        <v>338</v>
      </c>
      <c r="B339" t="s">
        <v>749</v>
      </c>
      <c r="C339" t="s">
        <v>750</v>
      </c>
      <c r="D339">
        <v>39.540999999999997</v>
      </c>
      <c r="E339" s="2" t="s">
        <v>943</v>
      </c>
      <c r="F339" s="3">
        <f>VLOOKUP(G339,Лист2!$A$2:$B$26,2,0)</f>
        <v>23</v>
      </c>
      <c r="G339" t="s">
        <v>962</v>
      </c>
    </row>
    <row r="340" spans="1:7" ht="18.75" x14ac:dyDescent="0.25">
      <c r="A340">
        <v>339</v>
      </c>
      <c r="B340" t="s">
        <v>751</v>
      </c>
      <c r="C340" t="s">
        <v>752</v>
      </c>
      <c r="D340">
        <v>38.847000000000001</v>
      </c>
      <c r="E340" s="2" t="s">
        <v>944</v>
      </c>
      <c r="F340" s="3">
        <f>VLOOKUP(G340,Лист2!$A$2:$B$26,2,0)</f>
        <v>15</v>
      </c>
      <c r="G340" t="s">
        <v>422</v>
      </c>
    </row>
    <row r="341" spans="1:7" ht="18.75" x14ac:dyDescent="0.25">
      <c r="A341">
        <v>340</v>
      </c>
      <c r="B341" t="s">
        <v>753</v>
      </c>
      <c r="C341" t="s">
        <v>754</v>
      </c>
      <c r="D341">
        <v>38.982999999999997</v>
      </c>
      <c r="E341" s="2" t="s">
        <v>901</v>
      </c>
      <c r="F341" s="3">
        <f>VLOOKUP(G341,Лист2!$A$2:$B$26,2,0)</f>
        <v>15</v>
      </c>
      <c r="G341" t="s">
        <v>422</v>
      </c>
    </row>
    <row r="342" spans="1:7" ht="18.75" x14ac:dyDescent="0.25">
      <c r="A342">
        <v>341</v>
      </c>
      <c r="B342" t="s">
        <v>755</v>
      </c>
      <c r="C342" t="s">
        <v>756</v>
      </c>
      <c r="D342">
        <v>38.892000000000003</v>
      </c>
      <c r="E342" s="2" t="s">
        <v>945</v>
      </c>
      <c r="F342" s="3">
        <f>VLOOKUP(G342,Лист2!$A$2:$B$26,2,0)</f>
        <v>5</v>
      </c>
      <c r="G342" t="s">
        <v>404</v>
      </c>
    </row>
    <row r="343" spans="1:7" ht="18.75" x14ac:dyDescent="0.25">
      <c r="A343">
        <v>342</v>
      </c>
      <c r="B343" t="s">
        <v>757</v>
      </c>
      <c r="C343" t="s">
        <v>758</v>
      </c>
      <c r="D343">
        <v>38.710999999999999</v>
      </c>
      <c r="E343" s="2" t="s">
        <v>946</v>
      </c>
      <c r="F343" s="3">
        <f>VLOOKUP(G343,Лист2!$A$2:$B$26,2,0)</f>
        <v>5</v>
      </c>
      <c r="G343" t="s">
        <v>404</v>
      </c>
    </row>
    <row r="344" spans="1:7" ht="18.75" x14ac:dyDescent="0.25">
      <c r="A344">
        <v>343</v>
      </c>
      <c r="B344" t="s">
        <v>759</v>
      </c>
      <c r="C344" t="s">
        <v>760</v>
      </c>
      <c r="D344">
        <v>38.707000000000001</v>
      </c>
      <c r="E344" s="2" t="s">
        <v>947</v>
      </c>
      <c r="F344" s="3">
        <f>VLOOKUP(G344,Лист2!$A$2:$B$26,2,0)</f>
        <v>5</v>
      </c>
      <c r="G344" t="s">
        <v>404</v>
      </c>
    </row>
    <row r="345" spans="1:7" ht="18.75" x14ac:dyDescent="0.25">
      <c r="A345">
        <v>344</v>
      </c>
      <c r="B345" t="s">
        <v>761</v>
      </c>
      <c r="C345" t="s">
        <v>762</v>
      </c>
      <c r="D345">
        <v>38.972000000000001</v>
      </c>
      <c r="E345" s="2" t="s">
        <v>948</v>
      </c>
      <c r="F345" s="3">
        <f>VLOOKUP(G345,Лист2!$A$2:$B$26,2,0)</f>
        <v>9</v>
      </c>
      <c r="G345" t="s">
        <v>402</v>
      </c>
    </row>
    <row r="346" spans="1:7" ht="18.75" x14ac:dyDescent="0.25">
      <c r="A346">
        <v>345</v>
      </c>
      <c r="B346" t="s">
        <v>763</v>
      </c>
      <c r="C346" t="s">
        <v>764</v>
      </c>
      <c r="D346">
        <v>38.713999999999999</v>
      </c>
      <c r="E346" s="2" t="s">
        <v>949</v>
      </c>
      <c r="F346" s="3">
        <f>VLOOKUP(G346,Лист2!$A$2:$B$26,2,0)</f>
        <v>9</v>
      </c>
      <c r="G346" t="s">
        <v>402</v>
      </c>
    </row>
    <row r="347" spans="1:7" ht="18.75" x14ac:dyDescent="0.25">
      <c r="A347">
        <v>346</v>
      </c>
      <c r="B347" t="s">
        <v>765</v>
      </c>
      <c r="C347" t="s">
        <v>766</v>
      </c>
      <c r="D347">
        <v>37.774000000000001</v>
      </c>
      <c r="E347" s="2" t="s">
        <v>950</v>
      </c>
      <c r="F347" s="3">
        <f>VLOOKUP(G347,Лист2!$A$2:$B$26,2,0)</f>
        <v>3</v>
      </c>
      <c r="G347" t="s">
        <v>391</v>
      </c>
    </row>
    <row r="348" spans="1:7" ht="18.75" x14ac:dyDescent="0.25">
      <c r="A348">
        <v>347</v>
      </c>
      <c r="B348" t="s">
        <v>767</v>
      </c>
      <c r="C348" t="s">
        <v>768</v>
      </c>
      <c r="D348">
        <v>37.625</v>
      </c>
      <c r="E348" s="2" t="s">
        <v>951</v>
      </c>
      <c r="F348" s="3">
        <f>VLOOKUP(G348,Лист2!$A$2:$B$26,2,0)</f>
        <v>3</v>
      </c>
      <c r="G348" t="s">
        <v>391</v>
      </c>
    </row>
    <row r="349" spans="1:7" ht="18.75" x14ac:dyDescent="0.25">
      <c r="A349">
        <v>348</v>
      </c>
      <c r="B349" t="s">
        <v>769</v>
      </c>
      <c r="C349" t="s">
        <v>770</v>
      </c>
      <c r="D349">
        <v>38.234000000000002</v>
      </c>
      <c r="E349" s="2" t="s">
        <v>881</v>
      </c>
      <c r="F349" s="3">
        <f>VLOOKUP(G349,Лист2!$A$2:$B$26,2,0)</f>
        <v>5</v>
      </c>
      <c r="G349" t="s">
        <v>404</v>
      </c>
    </row>
    <row r="350" spans="1:7" ht="18.75" x14ac:dyDescent="0.25">
      <c r="A350">
        <v>349</v>
      </c>
      <c r="B350" t="s">
        <v>771</v>
      </c>
      <c r="C350" t="s">
        <v>772</v>
      </c>
      <c r="D350">
        <v>37.448999999999998</v>
      </c>
      <c r="E350" s="2" t="s">
        <v>952</v>
      </c>
      <c r="F350" s="3">
        <f>VLOOKUP(G350,Лист2!$A$2:$B$26,2,0)</f>
        <v>9</v>
      </c>
      <c r="G350" t="s">
        <v>402</v>
      </c>
    </row>
    <row r="351" spans="1:7" ht="18.75" x14ac:dyDescent="0.25">
      <c r="A351">
        <v>350</v>
      </c>
      <c r="B351" t="s">
        <v>773</v>
      </c>
      <c r="C351" t="s">
        <v>774</v>
      </c>
      <c r="D351">
        <v>37.427999999999997</v>
      </c>
      <c r="E351" s="2" t="s">
        <v>953</v>
      </c>
      <c r="F351" s="3">
        <f>VLOOKUP(G351,Лист2!$A$2:$B$26,2,0)</f>
        <v>18</v>
      </c>
      <c r="G351" t="s">
        <v>863</v>
      </c>
    </row>
    <row r="352" spans="1:7" ht="18.75" x14ac:dyDescent="0.25">
      <c r="A352">
        <v>351</v>
      </c>
      <c r="B352" t="s">
        <v>775</v>
      </c>
      <c r="C352" t="s">
        <v>776</v>
      </c>
      <c r="D352">
        <v>37.584000000000003</v>
      </c>
      <c r="E352" s="2" t="s">
        <v>954</v>
      </c>
      <c r="F352" s="3">
        <f>VLOOKUP(G352,Лист2!$A$2:$B$26,2,0)</f>
        <v>18</v>
      </c>
      <c r="G352" t="s">
        <v>863</v>
      </c>
    </row>
    <row r="353" spans="1:8" ht="18.75" x14ac:dyDescent="0.25">
      <c r="A353">
        <v>352</v>
      </c>
      <c r="B353" t="s">
        <v>777</v>
      </c>
      <c r="C353" t="s">
        <v>778</v>
      </c>
      <c r="D353">
        <v>36.780999999999999</v>
      </c>
      <c r="E353" s="2" t="s">
        <v>955</v>
      </c>
      <c r="F353" s="3">
        <f>VLOOKUP(G353,Лист2!$A$2:$B$26,2,0)</f>
        <v>5</v>
      </c>
      <c r="G353" t="s">
        <v>404</v>
      </c>
    </row>
    <row r="354" spans="1:8" ht="18.75" x14ac:dyDescent="0.25">
      <c r="A354">
        <v>353</v>
      </c>
      <c r="B354" t="s">
        <v>779</v>
      </c>
      <c r="C354" t="s">
        <v>780</v>
      </c>
      <c r="D354">
        <v>36.808999999999997</v>
      </c>
      <c r="E354" s="2" t="s">
        <v>956</v>
      </c>
      <c r="F354" s="3">
        <f>VLOOKUP(G354,Лист2!$A$2:$B$26,2,0)</f>
        <v>5</v>
      </c>
      <c r="G354" t="s">
        <v>404</v>
      </c>
    </row>
    <row r="355" spans="1:8" ht="18.75" x14ac:dyDescent="0.25">
      <c r="A355">
        <v>354</v>
      </c>
      <c r="B355" t="s">
        <v>781</v>
      </c>
      <c r="C355" t="s">
        <v>782</v>
      </c>
      <c r="D355">
        <v>36.558</v>
      </c>
      <c r="E355" s="2" t="s">
        <v>957</v>
      </c>
      <c r="F355" s="3">
        <f>VLOOKUP(G355,Лист2!$A$2:$B$26,2,0)</f>
        <v>4</v>
      </c>
      <c r="G355" t="s">
        <v>392</v>
      </c>
      <c r="H355" t="s">
        <v>958</v>
      </c>
    </row>
    <row r="356" spans="1:8" ht="18.75" x14ac:dyDescent="0.25">
      <c r="A356">
        <v>355</v>
      </c>
      <c r="B356" t="s">
        <v>783</v>
      </c>
      <c r="C356" t="s">
        <v>784</v>
      </c>
      <c r="D356">
        <v>36.253</v>
      </c>
      <c r="E356" s="2" t="s">
        <v>907</v>
      </c>
      <c r="F356" s="3">
        <f>VLOOKUP(G356,Лист2!$A$2:$B$26,2,0)</f>
        <v>4</v>
      </c>
      <c r="G356" t="s">
        <v>392</v>
      </c>
      <c r="H356" t="s">
        <v>958</v>
      </c>
    </row>
    <row r="357" spans="1:8" ht="18.75" x14ac:dyDescent="0.25">
      <c r="A357">
        <v>356</v>
      </c>
      <c r="B357" t="s">
        <v>785</v>
      </c>
      <c r="C357" t="s">
        <v>786</v>
      </c>
      <c r="D357">
        <v>37.084000000000003</v>
      </c>
      <c r="E357" s="2" t="s">
        <v>959</v>
      </c>
      <c r="F357" s="3">
        <f>VLOOKUP(G357,Лист2!$A$2:$B$26,2,0)</f>
        <v>24</v>
      </c>
      <c r="G357" t="s">
        <v>963</v>
      </c>
    </row>
    <row r="358" spans="1:8" ht="18.75" x14ac:dyDescent="0.25">
      <c r="A358">
        <v>357</v>
      </c>
      <c r="B358" t="s">
        <v>787</v>
      </c>
      <c r="C358" t="s">
        <v>788</v>
      </c>
      <c r="D358">
        <v>37.512999999999998</v>
      </c>
      <c r="E358" s="2" t="s">
        <v>960</v>
      </c>
      <c r="F358" s="3">
        <f>VLOOKUP(G358,Лист2!$A$2:$B$26,2,0)</f>
        <v>24</v>
      </c>
      <c r="G358" t="s">
        <v>963</v>
      </c>
    </row>
    <row r="359" spans="1:8" ht="18.75" x14ac:dyDescent="0.25">
      <c r="A359">
        <v>358</v>
      </c>
      <c r="B359" t="s">
        <v>789</v>
      </c>
      <c r="C359" t="s">
        <v>790</v>
      </c>
      <c r="D359">
        <v>38.158999999999999</v>
      </c>
      <c r="E359" s="2" t="s">
        <v>961</v>
      </c>
      <c r="F359" s="3">
        <f>VLOOKUP(G359,Лист2!$A$2:$B$26,2,0)</f>
        <v>24</v>
      </c>
      <c r="G359" t="s">
        <v>963</v>
      </c>
    </row>
    <row r="360" spans="1:8" ht="18.75" x14ac:dyDescent="0.25">
      <c r="A360">
        <v>359</v>
      </c>
      <c r="B360" t="s">
        <v>791</v>
      </c>
      <c r="C360" t="s">
        <v>792</v>
      </c>
      <c r="D360">
        <v>36.002000000000002</v>
      </c>
      <c r="E360" s="2" t="s">
        <v>964</v>
      </c>
      <c r="F360" s="3">
        <f>VLOOKUP(G360,Лист2!$A$2:$B$26,2,0)</f>
        <v>18</v>
      </c>
      <c r="G360" t="s">
        <v>863</v>
      </c>
    </row>
    <row r="361" spans="1:8" ht="18.75" x14ac:dyDescent="0.25">
      <c r="A361">
        <v>360</v>
      </c>
      <c r="B361" t="s">
        <v>793</v>
      </c>
      <c r="C361" t="s">
        <v>794</v>
      </c>
      <c r="D361">
        <v>35.932000000000002</v>
      </c>
      <c r="E361" s="2" t="s">
        <v>926</v>
      </c>
      <c r="F361" s="3">
        <f>VLOOKUP(G361,Лист2!$A$2:$B$26,2,0)</f>
        <v>18</v>
      </c>
      <c r="G361" t="s">
        <v>863</v>
      </c>
    </row>
    <row r="362" spans="1:8" ht="18.75" x14ac:dyDescent="0.25">
      <c r="A362">
        <v>361</v>
      </c>
      <c r="B362" t="s">
        <v>795</v>
      </c>
      <c r="C362" t="s">
        <v>796</v>
      </c>
      <c r="D362">
        <v>35.667000000000002</v>
      </c>
      <c r="E362" s="2" t="s">
        <v>915</v>
      </c>
      <c r="F362" s="3">
        <f>VLOOKUP(G362,Лист2!$A$2:$B$26,2,0)</f>
        <v>18</v>
      </c>
      <c r="G362" t="s">
        <v>863</v>
      </c>
    </row>
    <row r="363" spans="1:8" ht="18.75" x14ac:dyDescent="0.25">
      <c r="A363">
        <v>362</v>
      </c>
      <c r="B363" t="s">
        <v>797</v>
      </c>
      <c r="C363" t="s">
        <v>798</v>
      </c>
      <c r="D363">
        <v>35.673999999999999</v>
      </c>
      <c r="E363" s="2" t="s">
        <v>965</v>
      </c>
      <c r="F363" s="3">
        <f>VLOOKUP(G363,Лист2!$A$2:$B$26,2,0)</f>
        <v>18</v>
      </c>
      <c r="G363" t="s">
        <v>863</v>
      </c>
    </row>
    <row r="364" spans="1:8" ht="18.75" x14ac:dyDescent="0.25">
      <c r="A364">
        <v>363</v>
      </c>
      <c r="B364" t="s">
        <v>799</v>
      </c>
      <c r="C364" t="s">
        <v>800</v>
      </c>
      <c r="D364">
        <v>35.506</v>
      </c>
      <c r="E364" s="2" t="s">
        <v>935</v>
      </c>
      <c r="F364" s="3">
        <f>VLOOKUP(G364,Лист2!$A$2:$B$26,2,0)</f>
        <v>18</v>
      </c>
      <c r="G364" t="s">
        <v>863</v>
      </c>
    </row>
    <row r="365" spans="1:8" ht="18.75" x14ac:dyDescent="0.25">
      <c r="A365">
        <v>364</v>
      </c>
      <c r="B365" t="s">
        <v>801</v>
      </c>
      <c r="C365" t="s">
        <v>802</v>
      </c>
      <c r="D365">
        <v>37.192999999999998</v>
      </c>
      <c r="E365" s="2" t="s">
        <v>966</v>
      </c>
      <c r="F365" s="3">
        <f>VLOOKUP(G365,Лист2!$A$2:$B$26,2,0)</f>
        <v>25</v>
      </c>
      <c r="G365" t="s">
        <v>977</v>
      </c>
    </row>
    <row r="366" spans="1:8" ht="18.75" x14ac:dyDescent="0.25">
      <c r="A366">
        <v>365</v>
      </c>
      <c r="B366" t="s">
        <v>803</v>
      </c>
      <c r="C366" t="s">
        <v>804</v>
      </c>
      <c r="D366">
        <v>37.023000000000003</v>
      </c>
      <c r="E366" s="2" t="s">
        <v>967</v>
      </c>
      <c r="F366" s="3">
        <f>VLOOKUP(G366,Лист2!$A$2:$B$26,2,0)</f>
        <v>25</v>
      </c>
      <c r="G366" t="s">
        <v>977</v>
      </c>
    </row>
    <row r="367" spans="1:8" ht="18.75" x14ac:dyDescent="0.25">
      <c r="A367">
        <v>366</v>
      </c>
      <c r="B367" t="s">
        <v>805</v>
      </c>
      <c r="C367" t="s">
        <v>806</v>
      </c>
      <c r="D367">
        <v>36.006999999999998</v>
      </c>
      <c r="E367" s="2" t="s">
        <v>968</v>
      </c>
      <c r="F367" s="3">
        <f>VLOOKUP(G367,Лист2!$A$2:$B$26,2,0)</f>
        <v>25</v>
      </c>
      <c r="G367" t="s">
        <v>977</v>
      </c>
    </row>
    <row r="368" spans="1:8" ht="18.75" x14ac:dyDescent="0.25">
      <c r="A368">
        <v>367</v>
      </c>
      <c r="B368" t="s">
        <v>807</v>
      </c>
      <c r="C368" t="s">
        <v>808</v>
      </c>
      <c r="D368">
        <v>35.636000000000003</v>
      </c>
      <c r="E368" s="2" t="s">
        <v>969</v>
      </c>
      <c r="F368" s="3">
        <f>VLOOKUP(G368,Лист2!$A$2:$B$26,2,0)</f>
        <v>5</v>
      </c>
      <c r="G368" t="s">
        <v>404</v>
      </c>
    </row>
    <row r="369" spans="1:7" ht="18.75" x14ac:dyDescent="0.25">
      <c r="A369">
        <v>368</v>
      </c>
      <c r="B369" t="s">
        <v>809</v>
      </c>
      <c r="C369" t="s">
        <v>810</v>
      </c>
      <c r="D369">
        <v>36.143000000000001</v>
      </c>
      <c r="E369" s="2" t="s">
        <v>970</v>
      </c>
      <c r="F369" s="3">
        <f>VLOOKUP(G369,Лист2!$A$2:$B$26,2,0)</f>
        <v>4</v>
      </c>
      <c r="G369" t="s">
        <v>392</v>
      </c>
    </row>
    <row r="370" spans="1:7" ht="18.75" x14ac:dyDescent="0.25">
      <c r="A370">
        <v>369</v>
      </c>
      <c r="B370" t="s">
        <v>811</v>
      </c>
      <c r="C370" t="s">
        <v>812</v>
      </c>
      <c r="D370">
        <v>36.067</v>
      </c>
      <c r="E370" s="2" t="s">
        <v>971</v>
      </c>
      <c r="F370" s="3">
        <f>VLOOKUP(G370,Лист2!$A$2:$B$26,2,0)</f>
        <v>4</v>
      </c>
      <c r="G370" t="s">
        <v>392</v>
      </c>
    </row>
    <row r="371" spans="1:7" ht="18.75" x14ac:dyDescent="0.25">
      <c r="A371">
        <v>370</v>
      </c>
      <c r="B371" t="s">
        <v>813</v>
      </c>
      <c r="C371" t="s">
        <v>814</v>
      </c>
      <c r="D371">
        <v>35.834000000000003</v>
      </c>
      <c r="E371" s="2" t="s">
        <v>972</v>
      </c>
      <c r="F371" s="3">
        <f>VLOOKUP(G371,Лист2!$A$2:$B$26,2,0)</f>
        <v>18</v>
      </c>
      <c r="G371" t="s">
        <v>863</v>
      </c>
    </row>
    <row r="372" spans="1:7" ht="18.75" x14ac:dyDescent="0.25">
      <c r="A372">
        <v>371</v>
      </c>
      <c r="B372" t="s">
        <v>815</v>
      </c>
      <c r="C372" t="s">
        <v>816</v>
      </c>
      <c r="D372">
        <v>36.003999999999998</v>
      </c>
      <c r="E372" s="2" t="s">
        <v>916</v>
      </c>
      <c r="F372" s="3">
        <f>VLOOKUP(G372,Лист2!$A$2:$B$26,2,0)</f>
        <v>18</v>
      </c>
      <c r="G372" t="s">
        <v>863</v>
      </c>
    </row>
    <row r="373" spans="1:7" ht="18.75" x14ac:dyDescent="0.25">
      <c r="A373">
        <v>372</v>
      </c>
      <c r="B373" t="s">
        <v>817</v>
      </c>
      <c r="C373" t="s">
        <v>818</v>
      </c>
      <c r="D373">
        <v>36.115000000000002</v>
      </c>
      <c r="E373" s="2" t="s">
        <v>894</v>
      </c>
      <c r="F373" s="3">
        <f>VLOOKUP(G373,Лист2!$A$2:$B$26,2,0)</f>
        <v>18</v>
      </c>
      <c r="G373" t="s">
        <v>863</v>
      </c>
    </row>
    <row r="374" spans="1:7" ht="18.75" x14ac:dyDescent="0.25">
      <c r="A374">
        <v>373</v>
      </c>
      <c r="B374" t="s">
        <v>819</v>
      </c>
      <c r="C374" t="s">
        <v>820</v>
      </c>
      <c r="D374">
        <v>36.136000000000003</v>
      </c>
      <c r="E374" s="2" t="s">
        <v>973</v>
      </c>
      <c r="F374" s="3">
        <f>VLOOKUP(G374,Лист2!$A$2:$B$26,2,0)</f>
        <v>18</v>
      </c>
      <c r="G374" t="s">
        <v>863</v>
      </c>
    </row>
    <row r="375" spans="1:7" ht="18.75" x14ac:dyDescent="0.25">
      <c r="A375">
        <v>374</v>
      </c>
      <c r="B375" t="s">
        <v>821</v>
      </c>
      <c r="C375" t="s">
        <v>822</v>
      </c>
      <c r="D375">
        <v>35.593000000000004</v>
      </c>
      <c r="E375" s="2" t="s">
        <v>974</v>
      </c>
      <c r="F375" s="3">
        <f>VLOOKUP(G375,Лист2!$A$2:$B$26,2,0)</f>
        <v>18</v>
      </c>
      <c r="G375" t="s">
        <v>863</v>
      </c>
    </row>
    <row r="376" spans="1:7" ht="18.75" x14ac:dyDescent="0.25">
      <c r="A376">
        <v>375</v>
      </c>
      <c r="B376" t="s">
        <v>823</v>
      </c>
      <c r="C376" t="s">
        <v>824</v>
      </c>
      <c r="D376">
        <v>35.290999999999997</v>
      </c>
      <c r="E376" s="2" t="s">
        <v>975</v>
      </c>
      <c r="F376" s="3">
        <f>VLOOKUP(G376,Лист2!$A$2:$B$26,2,0)</f>
        <v>18</v>
      </c>
      <c r="G376" t="s">
        <v>863</v>
      </c>
    </row>
    <row r="377" spans="1:7" ht="18.75" x14ac:dyDescent="0.25">
      <c r="A377">
        <v>376</v>
      </c>
      <c r="B377" t="s">
        <v>825</v>
      </c>
      <c r="C377" t="s">
        <v>826</v>
      </c>
      <c r="D377">
        <v>35.680999999999997</v>
      </c>
      <c r="E377" s="2" t="s">
        <v>976</v>
      </c>
      <c r="F377" s="3">
        <f>VLOOKUP(G377,Лист2!$A$2:$B$26,2,0)</f>
        <v>18</v>
      </c>
      <c r="G377" t="s">
        <v>863</v>
      </c>
    </row>
    <row r="378" spans="1:7" ht="18.75" x14ac:dyDescent="0.25">
      <c r="A378">
        <v>377</v>
      </c>
      <c r="B378" t="s">
        <v>827</v>
      </c>
      <c r="C378" t="s">
        <v>828</v>
      </c>
      <c r="D378">
        <v>35.25</v>
      </c>
      <c r="E378" s="2" t="s">
        <v>901</v>
      </c>
      <c r="F378" s="3">
        <f>VLOOKUP(G378,Лист2!$A$2:$B$26,2,0)</f>
        <v>18</v>
      </c>
      <c r="G378" t="s">
        <v>863</v>
      </c>
    </row>
    <row r="379" spans="1:7" ht="18.75" x14ac:dyDescent="0.25">
      <c r="A379">
        <v>378</v>
      </c>
      <c r="B379" t="s">
        <v>829</v>
      </c>
      <c r="C379" t="s">
        <v>830</v>
      </c>
      <c r="D379">
        <v>35.375999999999998</v>
      </c>
      <c r="E379" s="2" t="s">
        <v>900</v>
      </c>
      <c r="F379" s="3">
        <f>VLOOKUP(G379,Лист2!$A$2:$B$26,2,0)</f>
        <v>25</v>
      </c>
      <c r="G379" t="s">
        <v>977</v>
      </c>
    </row>
    <row r="380" spans="1:7" ht="18.75" x14ac:dyDescent="0.25">
      <c r="A380">
        <v>379</v>
      </c>
      <c r="B380" t="s">
        <v>831</v>
      </c>
      <c r="C380" t="s">
        <v>832</v>
      </c>
      <c r="D380">
        <v>35.1</v>
      </c>
      <c r="E380" s="2" t="s">
        <v>978</v>
      </c>
      <c r="F380" s="3">
        <f>VLOOKUP(G380,Лист2!$A$2:$B$26,2,0)</f>
        <v>15</v>
      </c>
      <c r="G380" t="s">
        <v>422</v>
      </c>
    </row>
    <row r="381" spans="1:7" ht="18.75" x14ac:dyDescent="0.25">
      <c r="A381">
        <v>380</v>
      </c>
      <c r="B381" t="s">
        <v>833</v>
      </c>
      <c r="C381" t="s">
        <v>834</v>
      </c>
      <c r="D381">
        <v>35.095999999999997</v>
      </c>
      <c r="E381" s="2" t="s">
        <v>915</v>
      </c>
      <c r="F381" s="3">
        <f>VLOOKUP(G381,Лист2!$A$2:$B$26,2,0)</f>
        <v>15</v>
      </c>
      <c r="G381" t="s">
        <v>422</v>
      </c>
    </row>
    <row r="382" spans="1:7" ht="18.75" x14ac:dyDescent="0.25">
      <c r="A382">
        <v>381</v>
      </c>
      <c r="B382" t="s">
        <v>835</v>
      </c>
      <c r="C382" t="s">
        <v>836</v>
      </c>
      <c r="D382">
        <v>35.155999999999999</v>
      </c>
      <c r="E382" s="2" t="s">
        <v>979</v>
      </c>
      <c r="F382" s="3">
        <f>VLOOKUP(G382,Лист2!$A$2:$B$26,2,0)</f>
        <v>15</v>
      </c>
      <c r="G382" t="s">
        <v>422</v>
      </c>
    </row>
    <row r="383" spans="1:7" ht="18.75" x14ac:dyDescent="0.25">
      <c r="A383">
        <v>382</v>
      </c>
      <c r="B383" t="s">
        <v>837</v>
      </c>
      <c r="C383" t="s">
        <v>838</v>
      </c>
      <c r="D383">
        <v>36.317999999999998</v>
      </c>
      <c r="E383" s="2" t="s">
        <v>980</v>
      </c>
      <c r="F383" s="3">
        <f>VLOOKUP(G383,Лист2!$A$2:$B$26,2,0)</f>
        <v>15</v>
      </c>
      <c r="G383" t="s">
        <v>422</v>
      </c>
    </row>
    <row r="384" spans="1:7" ht="18.75" x14ac:dyDescent="0.25">
      <c r="A384">
        <v>383</v>
      </c>
      <c r="B384" t="s">
        <v>839</v>
      </c>
      <c r="C384" t="s">
        <v>840</v>
      </c>
      <c r="D384">
        <v>36.344000000000001</v>
      </c>
      <c r="E384" s="2" t="s">
        <v>981</v>
      </c>
      <c r="F384" s="3">
        <f>VLOOKUP(G384,Лист2!$A$2:$B$26,2,0)</f>
        <v>25</v>
      </c>
      <c r="G384" t="s">
        <v>977</v>
      </c>
    </row>
    <row r="385" spans="1:7" ht="18.75" x14ac:dyDescent="0.25">
      <c r="A385">
        <v>384</v>
      </c>
      <c r="B385" t="s">
        <v>841</v>
      </c>
      <c r="C385" t="s">
        <v>842</v>
      </c>
      <c r="D385">
        <v>34.863999999999997</v>
      </c>
      <c r="E385" s="2" t="s">
        <v>882</v>
      </c>
      <c r="F385" s="3">
        <f>VLOOKUP(G385,Лист2!$A$2:$B$26,2,0)</f>
        <v>19</v>
      </c>
      <c r="G385" t="s">
        <v>883</v>
      </c>
    </row>
    <row r="386" spans="1:7" ht="18.75" x14ac:dyDescent="0.25">
      <c r="A386">
        <v>385</v>
      </c>
      <c r="B386" t="s">
        <v>843</v>
      </c>
      <c r="C386" t="s">
        <v>844</v>
      </c>
      <c r="D386">
        <v>36.01</v>
      </c>
      <c r="E386" s="2" t="s">
        <v>982</v>
      </c>
      <c r="F386" s="3">
        <f>VLOOKUP(G386,Лист2!$A$2:$B$26,2,0)</f>
        <v>5</v>
      </c>
      <c r="G386" t="s">
        <v>404</v>
      </c>
    </row>
    <row r="387" spans="1:7" ht="18.75" x14ac:dyDescent="0.25">
      <c r="A387">
        <v>386</v>
      </c>
      <c r="B387" t="s">
        <v>845</v>
      </c>
      <c r="C387" t="s">
        <v>846</v>
      </c>
      <c r="D387">
        <v>36.402000000000001</v>
      </c>
      <c r="E387" s="2" t="s">
        <v>983</v>
      </c>
      <c r="F387" s="3">
        <f>VLOOKUP(G387,Лист2!$A$2:$B$26,2,0)</f>
        <v>5</v>
      </c>
      <c r="G387" t="s">
        <v>404</v>
      </c>
    </row>
    <row r="388" spans="1:7" ht="18.75" x14ac:dyDescent="0.25">
      <c r="A388">
        <v>387</v>
      </c>
      <c r="B388" t="s">
        <v>847</v>
      </c>
      <c r="C388" t="s">
        <v>848</v>
      </c>
      <c r="D388">
        <v>36.573</v>
      </c>
      <c r="E388" s="2" t="s">
        <v>967</v>
      </c>
      <c r="F388" s="3">
        <f>VLOOKUP(G388,Лист2!$A$2:$B$26,2,0)</f>
        <v>5</v>
      </c>
      <c r="G388" t="s">
        <v>404</v>
      </c>
    </row>
    <row r="389" spans="1:7" ht="18.75" x14ac:dyDescent="0.25">
      <c r="A389">
        <v>388</v>
      </c>
      <c r="B389" t="s">
        <v>849</v>
      </c>
      <c r="C389" t="s">
        <v>850</v>
      </c>
      <c r="D389">
        <v>38.052999999999997</v>
      </c>
      <c r="E389" s="2" t="s">
        <v>984</v>
      </c>
      <c r="F389" s="3">
        <f>VLOOKUP(G389,Лист2!$A$2:$B$26,2,0)</f>
        <v>5</v>
      </c>
      <c r="G389" t="s">
        <v>404</v>
      </c>
    </row>
    <row r="390" spans="1:7" ht="18.75" x14ac:dyDescent="0.25">
      <c r="A390">
        <v>389</v>
      </c>
      <c r="B390" t="s">
        <v>851</v>
      </c>
      <c r="C390" t="s">
        <v>852</v>
      </c>
      <c r="D390">
        <v>37.325000000000003</v>
      </c>
      <c r="E390" s="2" t="s">
        <v>985</v>
      </c>
      <c r="F390" s="3">
        <f>VLOOKUP(G390,Лист2!$A$2:$B$26,2,0)</f>
        <v>5</v>
      </c>
      <c r="G390" t="s">
        <v>404</v>
      </c>
    </row>
    <row r="391" spans="1:7" ht="18.75" x14ac:dyDescent="0.25">
      <c r="A391">
        <v>390</v>
      </c>
      <c r="B391" t="s">
        <v>853</v>
      </c>
      <c r="C391" t="s">
        <v>854</v>
      </c>
      <c r="D391">
        <v>37.011000000000003</v>
      </c>
      <c r="E391" s="2" t="s">
        <v>986</v>
      </c>
      <c r="F391" s="3">
        <f>VLOOKUP(G391,Лист2!$A$2:$B$26,2,0)</f>
        <v>5</v>
      </c>
      <c r="G391" t="s">
        <v>404</v>
      </c>
    </row>
    <row r="392" spans="1:7" ht="18.75" x14ac:dyDescent="0.25">
      <c r="A392">
        <v>391</v>
      </c>
      <c r="B392" t="s">
        <v>855</v>
      </c>
      <c r="C392" t="s">
        <v>856</v>
      </c>
      <c r="D392">
        <v>36.6</v>
      </c>
      <c r="E392" s="2" t="s">
        <v>987</v>
      </c>
      <c r="F392" s="3">
        <f>VLOOKUP(G392,Лист2!$A$2:$B$26,2,0)</f>
        <v>5</v>
      </c>
      <c r="G392" t="s">
        <v>404</v>
      </c>
    </row>
    <row r="393" spans="1:7" ht="18.75" x14ac:dyDescent="0.25">
      <c r="A393">
        <v>392</v>
      </c>
      <c r="B393" t="s">
        <v>857</v>
      </c>
      <c r="C393" t="s">
        <v>858</v>
      </c>
      <c r="D393">
        <v>35.789000000000001</v>
      </c>
      <c r="E393" s="2" t="s">
        <v>988</v>
      </c>
      <c r="F393" s="3">
        <f>VLOOKUP(G393,Лист2!$A$2:$B$26,2,0)</f>
        <v>5</v>
      </c>
      <c r="G393" t="s">
        <v>404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49A92-F272-4F0A-8911-2214615057A2}">
  <dimension ref="A1:D61"/>
  <sheetViews>
    <sheetView workbookViewId="0">
      <selection sqref="A1:D61"/>
    </sheetView>
  </sheetViews>
  <sheetFormatPr defaultRowHeight="15" x14ac:dyDescent="0.25"/>
  <sheetData>
    <row r="1" spans="1:4" x14ac:dyDescent="0.25">
      <c r="A1">
        <v>332</v>
      </c>
      <c r="B1" t="s">
        <v>737</v>
      </c>
      <c r="C1" t="s">
        <v>738</v>
      </c>
      <c r="D1">
        <v>40.548000000000002</v>
      </c>
    </row>
    <row r="2" spans="1:4" x14ac:dyDescent="0.25">
      <c r="A2">
        <v>333</v>
      </c>
      <c r="B2" t="s">
        <v>739</v>
      </c>
      <c r="C2" t="s">
        <v>740</v>
      </c>
      <c r="D2">
        <v>40.095999999999997</v>
      </c>
    </row>
    <row r="3" spans="1:4" x14ac:dyDescent="0.25">
      <c r="A3">
        <v>334</v>
      </c>
      <c r="B3" t="s">
        <v>741</v>
      </c>
      <c r="C3" t="s">
        <v>742</v>
      </c>
      <c r="D3">
        <v>39.488</v>
      </c>
    </row>
    <row r="4" spans="1:4" x14ac:dyDescent="0.25">
      <c r="A4">
        <v>335</v>
      </c>
      <c r="B4" t="s">
        <v>743</v>
      </c>
      <c r="C4" t="s">
        <v>744</v>
      </c>
      <c r="D4">
        <v>39.570999999999998</v>
      </c>
    </row>
    <row r="5" spans="1:4" x14ac:dyDescent="0.25">
      <c r="A5">
        <v>336</v>
      </c>
      <c r="B5" t="s">
        <v>745</v>
      </c>
      <c r="C5" t="s">
        <v>746</v>
      </c>
      <c r="D5">
        <v>39.402999999999999</v>
      </c>
    </row>
    <row r="6" spans="1:4" x14ac:dyDescent="0.25">
      <c r="A6">
        <v>337</v>
      </c>
      <c r="B6" t="s">
        <v>747</v>
      </c>
      <c r="C6" t="s">
        <v>748</v>
      </c>
      <c r="D6">
        <v>39.841999999999999</v>
      </c>
    </row>
    <row r="7" spans="1:4" x14ac:dyDescent="0.25">
      <c r="A7">
        <v>338</v>
      </c>
      <c r="B7" t="s">
        <v>749</v>
      </c>
      <c r="C7" t="s">
        <v>750</v>
      </c>
      <c r="D7">
        <v>39.540999999999997</v>
      </c>
    </row>
    <row r="8" spans="1:4" x14ac:dyDescent="0.25">
      <c r="A8">
        <v>339</v>
      </c>
      <c r="B8" t="s">
        <v>751</v>
      </c>
      <c r="C8" t="s">
        <v>752</v>
      </c>
      <c r="D8">
        <v>38.847000000000001</v>
      </c>
    </row>
    <row r="9" spans="1:4" x14ac:dyDescent="0.25">
      <c r="A9">
        <v>340</v>
      </c>
      <c r="B9" t="s">
        <v>753</v>
      </c>
      <c r="C9" t="s">
        <v>754</v>
      </c>
      <c r="D9">
        <v>38.982999999999997</v>
      </c>
    </row>
    <row r="10" spans="1:4" x14ac:dyDescent="0.25">
      <c r="A10">
        <v>341</v>
      </c>
      <c r="B10" t="s">
        <v>755</v>
      </c>
      <c r="C10" t="s">
        <v>756</v>
      </c>
      <c r="D10">
        <v>38.892000000000003</v>
      </c>
    </row>
    <row r="11" spans="1:4" x14ac:dyDescent="0.25">
      <c r="A11">
        <v>342</v>
      </c>
      <c r="B11" t="s">
        <v>757</v>
      </c>
      <c r="C11" t="s">
        <v>758</v>
      </c>
      <c r="D11">
        <v>38.710999999999999</v>
      </c>
    </row>
    <row r="12" spans="1:4" x14ac:dyDescent="0.25">
      <c r="A12">
        <v>343</v>
      </c>
      <c r="B12" t="s">
        <v>759</v>
      </c>
      <c r="C12" t="s">
        <v>760</v>
      </c>
      <c r="D12">
        <v>38.707000000000001</v>
      </c>
    </row>
    <row r="13" spans="1:4" x14ac:dyDescent="0.25">
      <c r="A13">
        <v>344</v>
      </c>
      <c r="B13" t="s">
        <v>761</v>
      </c>
      <c r="C13" t="s">
        <v>762</v>
      </c>
      <c r="D13">
        <v>38.972000000000001</v>
      </c>
    </row>
    <row r="14" spans="1:4" x14ac:dyDescent="0.25">
      <c r="A14">
        <v>345</v>
      </c>
      <c r="B14" t="s">
        <v>763</v>
      </c>
      <c r="C14" t="s">
        <v>764</v>
      </c>
      <c r="D14">
        <v>38.713999999999999</v>
      </c>
    </row>
    <row r="15" spans="1:4" x14ac:dyDescent="0.25">
      <c r="A15">
        <v>346</v>
      </c>
      <c r="B15" t="s">
        <v>765</v>
      </c>
      <c r="C15" t="s">
        <v>766</v>
      </c>
      <c r="D15">
        <v>37.774000000000001</v>
      </c>
    </row>
    <row r="16" spans="1:4" x14ac:dyDescent="0.25">
      <c r="A16">
        <v>347</v>
      </c>
      <c r="B16" t="s">
        <v>767</v>
      </c>
      <c r="C16" t="s">
        <v>768</v>
      </c>
      <c r="D16">
        <v>37.625</v>
      </c>
    </row>
    <row r="17" spans="1:4" x14ac:dyDescent="0.25">
      <c r="A17">
        <v>348</v>
      </c>
      <c r="B17" t="s">
        <v>769</v>
      </c>
      <c r="C17" t="s">
        <v>770</v>
      </c>
      <c r="D17">
        <v>38.234000000000002</v>
      </c>
    </row>
    <row r="18" spans="1:4" x14ac:dyDescent="0.25">
      <c r="A18">
        <v>349</v>
      </c>
      <c r="B18" t="s">
        <v>771</v>
      </c>
      <c r="C18" t="s">
        <v>772</v>
      </c>
      <c r="D18">
        <v>37.448999999999998</v>
      </c>
    </row>
    <row r="19" spans="1:4" x14ac:dyDescent="0.25">
      <c r="A19">
        <v>350</v>
      </c>
      <c r="B19" t="s">
        <v>773</v>
      </c>
      <c r="C19" t="s">
        <v>774</v>
      </c>
      <c r="D19">
        <v>37.427999999999997</v>
      </c>
    </row>
    <row r="20" spans="1:4" x14ac:dyDescent="0.25">
      <c r="A20">
        <v>351</v>
      </c>
      <c r="B20" t="s">
        <v>775</v>
      </c>
      <c r="C20" t="s">
        <v>776</v>
      </c>
      <c r="D20">
        <v>37.584000000000003</v>
      </c>
    </row>
    <row r="21" spans="1:4" x14ac:dyDescent="0.25">
      <c r="A21">
        <v>352</v>
      </c>
      <c r="B21" t="s">
        <v>777</v>
      </c>
      <c r="C21" t="s">
        <v>778</v>
      </c>
      <c r="D21">
        <v>36.780999999999999</v>
      </c>
    </row>
    <row r="22" spans="1:4" x14ac:dyDescent="0.25">
      <c r="A22">
        <v>353</v>
      </c>
      <c r="B22" t="s">
        <v>779</v>
      </c>
      <c r="C22" t="s">
        <v>780</v>
      </c>
      <c r="D22">
        <v>36.808999999999997</v>
      </c>
    </row>
    <row r="23" spans="1:4" x14ac:dyDescent="0.25">
      <c r="A23">
        <v>354</v>
      </c>
      <c r="B23" t="s">
        <v>781</v>
      </c>
      <c r="C23" t="s">
        <v>782</v>
      </c>
      <c r="D23">
        <v>36.558</v>
      </c>
    </row>
    <row r="24" spans="1:4" x14ac:dyDescent="0.25">
      <c r="A24">
        <v>355</v>
      </c>
      <c r="B24" t="s">
        <v>783</v>
      </c>
      <c r="C24" t="s">
        <v>784</v>
      </c>
      <c r="D24">
        <v>36.253</v>
      </c>
    </row>
    <row r="25" spans="1:4" x14ac:dyDescent="0.25">
      <c r="A25">
        <v>356</v>
      </c>
      <c r="B25" t="s">
        <v>785</v>
      </c>
      <c r="C25" t="s">
        <v>786</v>
      </c>
      <c r="D25">
        <v>37.084000000000003</v>
      </c>
    </row>
    <row r="26" spans="1:4" x14ac:dyDescent="0.25">
      <c r="A26">
        <v>357</v>
      </c>
      <c r="B26" t="s">
        <v>787</v>
      </c>
      <c r="C26" t="s">
        <v>788</v>
      </c>
      <c r="D26">
        <v>37.512999999999998</v>
      </c>
    </row>
    <row r="27" spans="1:4" x14ac:dyDescent="0.25">
      <c r="A27">
        <v>358</v>
      </c>
      <c r="B27" t="s">
        <v>789</v>
      </c>
      <c r="C27" t="s">
        <v>790</v>
      </c>
      <c r="D27">
        <v>38.158999999999999</v>
      </c>
    </row>
    <row r="28" spans="1:4" x14ac:dyDescent="0.25">
      <c r="A28">
        <v>359</v>
      </c>
      <c r="B28" t="s">
        <v>791</v>
      </c>
      <c r="C28" t="s">
        <v>792</v>
      </c>
      <c r="D28">
        <v>36.002000000000002</v>
      </c>
    </row>
    <row r="29" spans="1:4" x14ac:dyDescent="0.25">
      <c r="A29">
        <v>360</v>
      </c>
      <c r="B29" t="s">
        <v>793</v>
      </c>
      <c r="C29" t="s">
        <v>794</v>
      </c>
      <c r="D29">
        <v>35.932000000000002</v>
      </c>
    </row>
    <row r="30" spans="1:4" x14ac:dyDescent="0.25">
      <c r="A30">
        <v>361</v>
      </c>
      <c r="B30" t="s">
        <v>795</v>
      </c>
      <c r="C30" t="s">
        <v>796</v>
      </c>
      <c r="D30">
        <v>35.667000000000002</v>
      </c>
    </row>
    <row r="31" spans="1:4" x14ac:dyDescent="0.25">
      <c r="A31">
        <v>362</v>
      </c>
      <c r="B31" t="s">
        <v>797</v>
      </c>
      <c r="C31" t="s">
        <v>798</v>
      </c>
      <c r="D31">
        <v>35.673999999999999</v>
      </c>
    </row>
    <row r="32" spans="1:4" x14ac:dyDescent="0.25">
      <c r="A32">
        <v>363</v>
      </c>
      <c r="B32" t="s">
        <v>799</v>
      </c>
      <c r="C32" t="s">
        <v>800</v>
      </c>
      <c r="D32">
        <v>35.506</v>
      </c>
    </row>
    <row r="33" spans="1:4" x14ac:dyDescent="0.25">
      <c r="A33">
        <v>364</v>
      </c>
      <c r="B33" t="s">
        <v>801</v>
      </c>
      <c r="C33" t="s">
        <v>802</v>
      </c>
      <c r="D33">
        <v>37.192999999999998</v>
      </c>
    </row>
    <row r="34" spans="1:4" x14ac:dyDescent="0.25">
      <c r="A34">
        <v>365</v>
      </c>
      <c r="B34" t="s">
        <v>803</v>
      </c>
      <c r="C34" t="s">
        <v>804</v>
      </c>
      <c r="D34">
        <v>37.023000000000003</v>
      </c>
    </row>
    <row r="35" spans="1:4" x14ac:dyDescent="0.25">
      <c r="A35">
        <v>366</v>
      </c>
      <c r="B35" t="s">
        <v>805</v>
      </c>
      <c r="C35" t="s">
        <v>806</v>
      </c>
      <c r="D35">
        <v>36.006999999999998</v>
      </c>
    </row>
    <row r="36" spans="1:4" x14ac:dyDescent="0.25">
      <c r="A36">
        <v>367</v>
      </c>
      <c r="B36" t="s">
        <v>807</v>
      </c>
      <c r="C36" t="s">
        <v>808</v>
      </c>
      <c r="D36">
        <v>35.636000000000003</v>
      </c>
    </row>
    <row r="37" spans="1:4" x14ac:dyDescent="0.25">
      <c r="A37">
        <v>368</v>
      </c>
      <c r="B37" t="s">
        <v>809</v>
      </c>
      <c r="C37" t="s">
        <v>810</v>
      </c>
      <c r="D37">
        <v>36.143000000000001</v>
      </c>
    </row>
    <row r="38" spans="1:4" x14ac:dyDescent="0.25">
      <c r="A38">
        <v>369</v>
      </c>
      <c r="B38" t="s">
        <v>811</v>
      </c>
      <c r="C38" t="s">
        <v>812</v>
      </c>
      <c r="D38">
        <v>36.067</v>
      </c>
    </row>
    <row r="39" spans="1:4" x14ac:dyDescent="0.25">
      <c r="A39">
        <v>370</v>
      </c>
      <c r="B39" t="s">
        <v>813</v>
      </c>
      <c r="C39" t="s">
        <v>814</v>
      </c>
      <c r="D39">
        <v>35.834000000000003</v>
      </c>
    </row>
    <row r="40" spans="1:4" x14ac:dyDescent="0.25">
      <c r="A40">
        <v>371</v>
      </c>
      <c r="B40" t="s">
        <v>815</v>
      </c>
      <c r="C40" t="s">
        <v>816</v>
      </c>
      <c r="D40">
        <v>36.003999999999998</v>
      </c>
    </row>
    <row r="41" spans="1:4" x14ac:dyDescent="0.25">
      <c r="A41">
        <v>372</v>
      </c>
      <c r="B41" t="s">
        <v>817</v>
      </c>
      <c r="C41" t="s">
        <v>818</v>
      </c>
      <c r="D41">
        <v>36.115000000000002</v>
      </c>
    </row>
    <row r="42" spans="1:4" x14ac:dyDescent="0.25">
      <c r="A42">
        <v>373</v>
      </c>
      <c r="B42" t="s">
        <v>819</v>
      </c>
      <c r="C42" t="s">
        <v>820</v>
      </c>
      <c r="D42">
        <v>36.136000000000003</v>
      </c>
    </row>
    <row r="43" spans="1:4" x14ac:dyDescent="0.25">
      <c r="A43">
        <v>374</v>
      </c>
      <c r="B43" t="s">
        <v>821</v>
      </c>
      <c r="C43" t="s">
        <v>822</v>
      </c>
      <c r="D43">
        <v>35.593000000000004</v>
      </c>
    </row>
    <row r="44" spans="1:4" x14ac:dyDescent="0.25">
      <c r="A44">
        <v>375</v>
      </c>
      <c r="B44" t="s">
        <v>823</v>
      </c>
      <c r="C44" t="s">
        <v>824</v>
      </c>
      <c r="D44">
        <v>35.290999999999997</v>
      </c>
    </row>
    <row r="45" spans="1:4" x14ac:dyDescent="0.25">
      <c r="A45">
        <v>376</v>
      </c>
      <c r="B45" t="s">
        <v>825</v>
      </c>
      <c r="C45" t="s">
        <v>826</v>
      </c>
      <c r="D45">
        <v>35.680999999999997</v>
      </c>
    </row>
    <row r="46" spans="1:4" x14ac:dyDescent="0.25">
      <c r="A46">
        <v>377</v>
      </c>
      <c r="B46" t="s">
        <v>827</v>
      </c>
      <c r="C46" t="s">
        <v>828</v>
      </c>
      <c r="D46">
        <v>35.25</v>
      </c>
    </row>
    <row r="47" spans="1:4" x14ac:dyDescent="0.25">
      <c r="A47">
        <v>378</v>
      </c>
      <c r="B47" t="s">
        <v>829</v>
      </c>
      <c r="C47" t="s">
        <v>830</v>
      </c>
      <c r="D47">
        <v>35.375999999999998</v>
      </c>
    </row>
    <row r="48" spans="1:4" x14ac:dyDescent="0.25">
      <c r="A48">
        <v>379</v>
      </c>
      <c r="B48" t="s">
        <v>831</v>
      </c>
      <c r="C48" t="s">
        <v>832</v>
      </c>
      <c r="D48">
        <v>35.1</v>
      </c>
    </row>
    <row r="49" spans="1:4" x14ac:dyDescent="0.25">
      <c r="A49">
        <v>380</v>
      </c>
      <c r="B49" t="s">
        <v>833</v>
      </c>
      <c r="C49" t="s">
        <v>834</v>
      </c>
      <c r="D49">
        <v>35.095999999999997</v>
      </c>
    </row>
    <row r="50" spans="1:4" x14ac:dyDescent="0.25">
      <c r="A50">
        <v>381</v>
      </c>
      <c r="B50" t="s">
        <v>835</v>
      </c>
      <c r="C50" t="s">
        <v>836</v>
      </c>
      <c r="D50">
        <v>35.155999999999999</v>
      </c>
    </row>
    <row r="51" spans="1:4" x14ac:dyDescent="0.25">
      <c r="A51">
        <v>382</v>
      </c>
      <c r="B51" t="s">
        <v>837</v>
      </c>
      <c r="C51" t="s">
        <v>838</v>
      </c>
      <c r="D51">
        <v>36.317999999999998</v>
      </c>
    </row>
    <row r="52" spans="1:4" x14ac:dyDescent="0.25">
      <c r="A52">
        <v>383</v>
      </c>
      <c r="B52" t="s">
        <v>839</v>
      </c>
      <c r="C52" t="s">
        <v>840</v>
      </c>
      <c r="D52">
        <v>36.344000000000001</v>
      </c>
    </row>
    <row r="53" spans="1:4" x14ac:dyDescent="0.25">
      <c r="A53">
        <v>384</v>
      </c>
      <c r="B53" t="s">
        <v>841</v>
      </c>
      <c r="C53" t="s">
        <v>842</v>
      </c>
      <c r="D53">
        <v>34.863999999999997</v>
      </c>
    </row>
    <row r="54" spans="1:4" x14ac:dyDescent="0.25">
      <c r="A54">
        <v>385</v>
      </c>
      <c r="B54" t="s">
        <v>843</v>
      </c>
      <c r="C54" t="s">
        <v>844</v>
      </c>
      <c r="D54">
        <v>36.01</v>
      </c>
    </row>
    <row r="55" spans="1:4" x14ac:dyDescent="0.25">
      <c r="A55">
        <v>386</v>
      </c>
      <c r="B55" t="s">
        <v>845</v>
      </c>
      <c r="C55" t="s">
        <v>846</v>
      </c>
      <c r="D55">
        <v>36.402000000000001</v>
      </c>
    </row>
    <row r="56" spans="1:4" x14ac:dyDescent="0.25">
      <c r="A56">
        <v>387</v>
      </c>
      <c r="B56" t="s">
        <v>847</v>
      </c>
      <c r="C56" t="s">
        <v>848</v>
      </c>
      <c r="D56">
        <v>36.573</v>
      </c>
    </row>
    <row r="57" spans="1:4" x14ac:dyDescent="0.25">
      <c r="A57">
        <v>388</v>
      </c>
      <c r="B57" t="s">
        <v>849</v>
      </c>
      <c r="C57" t="s">
        <v>850</v>
      </c>
      <c r="D57">
        <v>38.052999999999997</v>
      </c>
    </row>
    <row r="58" spans="1:4" x14ac:dyDescent="0.25">
      <c r="A58">
        <v>389</v>
      </c>
      <c r="B58" t="s">
        <v>851</v>
      </c>
      <c r="C58" t="s">
        <v>852</v>
      </c>
      <c r="D58">
        <v>37.325000000000003</v>
      </c>
    </row>
    <row r="59" spans="1:4" x14ac:dyDescent="0.25">
      <c r="A59">
        <v>390</v>
      </c>
      <c r="B59" t="s">
        <v>853</v>
      </c>
      <c r="C59" t="s">
        <v>854</v>
      </c>
      <c r="D59">
        <v>37.011000000000003</v>
      </c>
    </row>
    <row r="60" spans="1:4" x14ac:dyDescent="0.25">
      <c r="A60">
        <v>391</v>
      </c>
      <c r="B60" t="s">
        <v>855</v>
      </c>
      <c r="C60" t="s">
        <v>856</v>
      </c>
      <c r="D60">
        <v>36.6</v>
      </c>
    </row>
    <row r="61" spans="1:4" x14ac:dyDescent="0.25">
      <c r="A61">
        <v>392</v>
      </c>
      <c r="B61" t="s">
        <v>857</v>
      </c>
      <c r="C61" t="s">
        <v>858</v>
      </c>
      <c r="D61">
        <v>35.789000000000001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C2381-F602-436A-8A20-9E370BD18380}">
  <dimension ref="A2:B26"/>
  <sheetViews>
    <sheetView workbookViewId="0">
      <selection activeCell="F20" sqref="F20"/>
    </sheetView>
  </sheetViews>
  <sheetFormatPr defaultRowHeight="15" x14ac:dyDescent="0.25"/>
  <cols>
    <col min="1" max="1" width="32.85546875" customWidth="1"/>
    <col min="2" max="2" width="18" customWidth="1"/>
  </cols>
  <sheetData>
    <row r="2" spans="1:2" x14ac:dyDescent="0.25">
      <c r="A2" t="s">
        <v>389</v>
      </c>
      <c r="B2">
        <v>1</v>
      </c>
    </row>
    <row r="3" spans="1:2" x14ac:dyDescent="0.25">
      <c r="A3" t="s">
        <v>396</v>
      </c>
      <c r="B3">
        <v>2</v>
      </c>
    </row>
    <row r="4" spans="1:2" x14ac:dyDescent="0.25">
      <c r="A4" t="s">
        <v>391</v>
      </c>
      <c r="B4">
        <v>3</v>
      </c>
    </row>
    <row r="5" spans="1:2" x14ac:dyDescent="0.25">
      <c r="A5" t="s">
        <v>392</v>
      </c>
      <c r="B5">
        <v>4</v>
      </c>
    </row>
    <row r="6" spans="1:2" x14ac:dyDescent="0.25">
      <c r="A6" t="s">
        <v>404</v>
      </c>
      <c r="B6">
        <v>5</v>
      </c>
    </row>
    <row r="7" spans="1:2" x14ac:dyDescent="0.25">
      <c r="A7" t="s">
        <v>430</v>
      </c>
      <c r="B7">
        <v>6</v>
      </c>
    </row>
    <row r="8" spans="1:2" x14ac:dyDescent="0.25">
      <c r="A8" t="s">
        <v>397</v>
      </c>
      <c r="B8">
        <v>7</v>
      </c>
    </row>
    <row r="9" spans="1:2" x14ac:dyDescent="0.25">
      <c r="A9" t="s">
        <v>393</v>
      </c>
      <c r="B9">
        <v>8</v>
      </c>
    </row>
    <row r="10" spans="1:2" x14ac:dyDescent="0.25">
      <c r="A10" t="s">
        <v>402</v>
      </c>
      <c r="B10">
        <v>9</v>
      </c>
    </row>
    <row r="11" spans="1:2" x14ac:dyDescent="0.25">
      <c r="A11" t="s">
        <v>429</v>
      </c>
      <c r="B11">
        <v>10</v>
      </c>
    </row>
    <row r="12" spans="1:2" x14ac:dyDescent="0.25">
      <c r="A12" t="s">
        <v>395</v>
      </c>
      <c r="B12">
        <v>11</v>
      </c>
    </row>
    <row r="13" spans="1:2" x14ac:dyDescent="0.25">
      <c r="A13" t="s">
        <v>406</v>
      </c>
      <c r="B13">
        <v>12</v>
      </c>
    </row>
    <row r="14" spans="1:2" x14ac:dyDescent="0.25">
      <c r="A14" t="s">
        <v>411</v>
      </c>
      <c r="B14">
        <v>13</v>
      </c>
    </row>
    <row r="15" spans="1:2" x14ac:dyDescent="0.25">
      <c r="A15" t="s">
        <v>421</v>
      </c>
      <c r="B15">
        <v>14</v>
      </c>
    </row>
    <row r="16" spans="1:2" x14ac:dyDescent="0.25">
      <c r="A16" t="s">
        <v>422</v>
      </c>
      <c r="B16">
        <v>15</v>
      </c>
    </row>
    <row r="17" spans="1:2" x14ac:dyDescent="0.25">
      <c r="A17" t="s">
        <v>437</v>
      </c>
      <c r="B17">
        <v>16</v>
      </c>
    </row>
    <row r="18" spans="1:2" x14ac:dyDescent="0.25">
      <c r="A18" t="s">
        <v>431</v>
      </c>
      <c r="B18">
        <v>17</v>
      </c>
    </row>
    <row r="19" spans="1:2" x14ac:dyDescent="0.25">
      <c r="A19" t="s">
        <v>863</v>
      </c>
      <c r="B19">
        <v>18</v>
      </c>
    </row>
    <row r="20" spans="1:2" x14ac:dyDescent="0.25">
      <c r="A20" t="s">
        <v>883</v>
      </c>
      <c r="B20">
        <v>19</v>
      </c>
    </row>
    <row r="21" spans="1:2" x14ac:dyDescent="0.25">
      <c r="A21" t="s">
        <v>884</v>
      </c>
      <c r="B21">
        <v>20</v>
      </c>
    </row>
    <row r="22" spans="1:2" x14ac:dyDescent="0.25">
      <c r="A22" t="s">
        <v>913</v>
      </c>
      <c r="B22">
        <v>21</v>
      </c>
    </row>
    <row r="23" spans="1:2" x14ac:dyDescent="0.25">
      <c r="A23" t="s">
        <v>930</v>
      </c>
      <c r="B23">
        <v>22</v>
      </c>
    </row>
    <row r="24" spans="1:2" x14ac:dyDescent="0.25">
      <c r="A24" t="s">
        <v>962</v>
      </c>
      <c r="B24">
        <v>23</v>
      </c>
    </row>
    <row r="25" spans="1:2" x14ac:dyDescent="0.25">
      <c r="A25" t="s">
        <v>963</v>
      </c>
      <c r="B25">
        <v>24</v>
      </c>
    </row>
    <row r="26" spans="1:2" x14ac:dyDescent="0.25">
      <c r="A26" t="s">
        <v>977</v>
      </c>
      <c r="B26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Poderevka-2_2025-10-27-14-35-37</vt:lpstr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Костык Вероника Антоновна</dc:creator>
  <cp:lastModifiedBy>Костык Вероника Антоновна</cp:lastModifiedBy>
  <dcterms:created xsi:type="dcterms:W3CDTF">2025-10-28T01:54:54Z</dcterms:created>
  <dcterms:modified xsi:type="dcterms:W3CDTF">2026-07-27T01:51:24Z</dcterms:modified>
</cp:coreProperties>
</file>